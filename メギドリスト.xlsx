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kiy\Desktop\Antigravityアプリ\メギドワードル\"/>
    </mc:Choice>
  </mc:AlternateContent>
  <xr:revisionPtr revIDLastSave="0" documentId="13_ncr:1_{EFA85897-7664-4253-A124-E02A3B6E6575}" xr6:coauthVersionLast="47" xr6:coauthVersionMax="47" xr10:uidLastSave="{00000000-0000-0000-0000-000000000000}"/>
  <bookViews>
    <workbookView xWindow="6960" yWindow="3510" windowWidth="16140" windowHeight="11295" xr2:uid="{00000000-000D-0000-FFFF-FFFF00000000}"/>
  </bookViews>
  <sheets>
    <sheet name="master" sheetId="1" r:id="rId1"/>
    <sheet name="Sheet1" sheetId="2" r:id="rId2"/>
    <sheet name="シート1" sheetId="3" r:id="rId3"/>
    <sheet name="シート3" sheetId="4" r:id="rId4"/>
  </sheets>
  <definedNames>
    <definedName name="_xlnm._FilterDatabase" localSheetId="1" hidden="1">Sheet1!$A$1:$Q$273</definedName>
  </definedNames>
  <calcPr calcId="191029"/>
  <extLst>
    <ext uri="GoogleSheetsCustomDataVersion2">
      <go:sheetsCustomData xmlns:go="http://customooxmlschemas.google.com/" r:id="rId8" roundtripDataChecksum="bxXn2F5MDETadQSrCybb64H8Sj7rho5djkcuKOqWmyQ="/>
    </ext>
  </extLst>
</workbook>
</file>

<file path=xl/calcChain.xml><?xml version="1.0" encoding="utf-8"?>
<calcChain xmlns="http://schemas.openxmlformats.org/spreadsheetml/2006/main">
  <c r="S1000" i="2" l="1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Z271" i="2"/>
  <c r="Z270" i="2"/>
  <c r="Z269" i="2"/>
  <c r="Z268" i="2"/>
  <c r="Z267" i="2"/>
  <c r="Z266" i="2"/>
  <c r="Z265" i="2"/>
  <c r="Z264" i="2"/>
  <c r="Z262" i="2"/>
  <c r="Z259" i="2"/>
  <c r="Z255" i="2"/>
  <c r="Z254" i="2"/>
  <c r="Z252" i="2"/>
  <c r="Z251" i="2"/>
  <c r="Z250" i="2"/>
  <c r="Z249" i="2"/>
  <c r="Z248" i="2"/>
  <c r="Z246" i="2"/>
  <c r="Z244" i="2"/>
  <c r="Z243" i="2"/>
  <c r="Z242" i="2"/>
  <c r="Z239" i="2"/>
  <c r="Z236" i="2"/>
  <c r="Z235" i="2"/>
  <c r="Z233" i="2"/>
  <c r="Z232" i="2"/>
  <c r="Z230" i="2"/>
  <c r="Z228" i="2"/>
  <c r="Z227" i="2"/>
  <c r="Z226" i="2"/>
  <c r="Z224" i="2"/>
  <c r="Z223" i="2"/>
  <c r="Z222" i="2"/>
  <c r="Z220" i="2"/>
  <c r="Z217" i="2"/>
  <c r="Z216" i="2"/>
  <c r="Z212" i="2"/>
  <c r="Z211" i="2"/>
  <c r="Z210" i="2"/>
  <c r="Z208" i="2"/>
  <c r="Z207" i="2"/>
  <c r="Z206" i="2"/>
  <c r="Z205" i="2"/>
  <c r="Z204" i="2"/>
  <c r="Z203" i="2"/>
  <c r="Z201" i="2"/>
  <c r="Z196" i="2"/>
  <c r="Z195" i="2"/>
  <c r="Z192" i="2"/>
  <c r="Z191" i="2"/>
  <c r="Z190" i="2"/>
  <c r="Z189" i="2"/>
  <c r="Z188" i="2"/>
  <c r="Z187" i="2"/>
  <c r="Z186" i="2"/>
  <c r="Z185" i="2"/>
  <c r="Z184" i="2"/>
  <c r="Z180" i="2"/>
  <c r="Z176" i="2"/>
  <c r="Z175" i="2"/>
  <c r="Z173" i="2"/>
  <c r="Z172" i="2"/>
  <c r="Z171" i="2"/>
  <c r="Z170" i="2"/>
  <c r="Z169" i="2"/>
  <c r="Z168" i="2"/>
  <c r="Z166" i="2"/>
  <c r="Z164" i="2"/>
  <c r="Z163" i="2"/>
  <c r="Z160" i="2"/>
  <c r="Z157" i="2"/>
  <c r="Z156" i="2"/>
  <c r="Z154" i="2"/>
  <c r="Z153" i="2"/>
  <c r="Z152" i="2"/>
  <c r="Z150" i="2"/>
  <c r="Z148" i="2"/>
  <c r="Z147" i="2"/>
  <c r="Z146" i="2"/>
  <c r="Z144" i="2"/>
  <c r="Z143" i="2"/>
  <c r="Z141" i="2"/>
  <c r="Z138" i="2"/>
  <c r="Z137" i="2"/>
  <c r="Z134" i="2"/>
  <c r="Z132" i="2"/>
  <c r="Z131" i="2"/>
  <c r="Z130" i="2"/>
  <c r="Z128" i="2"/>
  <c r="Z127" i="2"/>
  <c r="Z126" i="2"/>
  <c r="Z125" i="2"/>
  <c r="Z124" i="2"/>
  <c r="Z122" i="2"/>
  <c r="Z118" i="2"/>
  <c r="Z116" i="2"/>
  <c r="Z114" i="2"/>
  <c r="Z112" i="2"/>
  <c r="Z111" i="2"/>
  <c r="Z110" i="2"/>
  <c r="Z109" i="2"/>
  <c r="Z108" i="2"/>
  <c r="Z107" i="2"/>
  <c r="Z106" i="2"/>
  <c r="Z105" i="2"/>
  <c r="Z102" i="2"/>
  <c r="Z98" i="2"/>
  <c r="Z96" i="2"/>
  <c r="Z94" i="2"/>
  <c r="Z93" i="2"/>
  <c r="Z92" i="2"/>
  <c r="Z91" i="2"/>
  <c r="Z90" i="2"/>
  <c r="Z89" i="2"/>
  <c r="Z88" i="2"/>
  <c r="Z86" i="2"/>
  <c r="Z84" i="2"/>
  <c r="Z82" i="2"/>
  <c r="Z78" i="2"/>
  <c r="Z77" i="2"/>
  <c r="Z75" i="2"/>
  <c r="Z74" i="2"/>
  <c r="Z73" i="2"/>
  <c r="Z72" i="2"/>
  <c r="Z70" i="2"/>
  <c r="Z68" i="2"/>
  <c r="Z67" i="2"/>
  <c r="Z66" i="2"/>
  <c r="Z64" i="2"/>
  <c r="Z62" i="2"/>
  <c r="Z59" i="2"/>
  <c r="Z58" i="2"/>
  <c r="Z56" i="2"/>
  <c r="Z54" i="2"/>
  <c r="Z52" i="2"/>
  <c r="Z51" i="2"/>
  <c r="Z50" i="2"/>
  <c r="Z48" i="2"/>
  <c r="Z47" i="2"/>
  <c r="Z46" i="2"/>
  <c r="Z45" i="2"/>
  <c r="Z43" i="2"/>
  <c r="Z40" i="2"/>
  <c r="Z38" i="2"/>
  <c r="Z35" i="2"/>
  <c r="Z34" i="2"/>
  <c r="Z32" i="2"/>
  <c r="Z31" i="2"/>
  <c r="Z30" i="2"/>
  <c r="Z29" i="2"/>
  <c r="Z28" i="2"/>
  <c r="Z27" i="2"/>
  <c r="Z26" i="2"/>
  <c r="Z24" i="2"/>
  <c r="Z19" i="2"/>
  <c r="Z18" i="2"/>
  <c r="Z15" i="2"/>
  <c r="Z14" i="2"/>
  <c r="Z13" i="2"/>
  <c r="Z12" i="2"/>
  <c r="Z11" i="2"/>
  <c r="Z10" i="2"/>
  <c r="Z9" i="2"/>
  <c r="Z8" i="2"/>
  <c r="Z6" i="2"/>
  <c r="Z3" i="2"/>
  <c r="Z2" i="2" a="1"/>
  <c r="Z256" i="2" s="1"/>
  <c r="S2" i="2"/>
  <c r="W2" i="2" l="1" a="1"/>
  <c r="X2" i="2" a="1"/>
  <c r="V2" i="2" a="1"/>
  <c r="U2" i="2" a="1"/>
  <c r="T2" i="2" a="1"/>
  <c r="Z16" i="2"/>
  <c r="Z36" i="2"/>
  <c r="Z57" i="2"/>
  <c r="Z76" i="2"/>
  <c r="Z95" i="2"/>
  <c r="Z115" i="2"/>
  <c r="Z136" i="2"/>
  <c r="Z155" i="2"/>
  <c r="Z174" i="2"/>
  <c r="Z194" i="2"/>
  <c r="Z214" i="2"/>
  <c r="Z234" i="2"/>
  <c r="Z253" i="2"/>
  <c r="Z272" i="2"/>
  <c r="Z20" i="2"/>
  <c r="Z41" i="2"/>
  <c r="Z60" i="2"/>
  <c r="Z79" i="2"/>
  <c r="Z99" i="2"/>
  <c r="Z120" i="2"/>
  <c r="Z139" i="2"/>
  <c r="Z158" i="2"/>
  <c r="Z178" i="2"/>
  <c r="Z198" i="2"/>
  <c r="Z218" i="2"/>
  <c r="Z237" i="2"/>
  <c r="Z263" i="2"/>
  <c r="Z247" i="2"/>
  <c r="Z231" i="2"/>
  <c r="Z215" i="2"/>
  <c r="Z199" i="2"/>
  <c r="Z183" i="2"/>
  <c r="Z167" i="2"/>
  <c r="Z151" i="2"/>
  <c r="Z135" i="2"/>
  <c r="Z119" i="2"/>
  <c r="Z103" i="2"/>
  <c r="Z87" i="2"/>
  <c r="Z71" i="2"/>
  <c r="Z55" i="2"/>
  <c r="Z39" i="2"/>
  <c r="Z23" i="2"/>
  <c r="Z7" i="2"/>
  <c r="Z261" i="2"/>
  <c r="Z245" i="2"/>
  <c r="Z229" i="2"/>
  <c r="Z213" i="2"/>
  <c r="Z197" i="2"/>
  <c r="Z181" i="2"/>
  <c r="Z165" i="2"/>
  <c r="Z149" i="2"/>
  <c r="Z133" i="2"/>
  <c r="Z117" i="2"/>
  <c r="Z101" i="2"/>
  <c r="Z85" i="2"/>
  <c r="Z69" i="2"/>
  <c r="Z53" i="2"/>
  <c r="Z37" i="2"/>
  <c r="Z21" i="2"/>
  <c r="Z5" i="2"/>
  <c r="Z273" i="2"/>
  <c r="Z257" i="2"/>
  <c r="Z241" i="2"/>
  <c r="Z225" i="2"/>
  <c r="Z209" i="2"/>
  <c r="Z193" i="2"/>
  <c r="Z177" i="2"/>
  <c r="Z161" i="2"/>
  <c r="Z145" i="2"/>
  <c r="Z129" i="2"/>
  <c r="Z113" i="2"/>
  <c r="Z97" i="2"/>
  <c r="Z81" i="2"/>
  <c r="Z65" i="2"/>
  <c r="Z49" i="2"/>
  <c r="Z33" i="2"/>
  <c r="Z17" i="2"/>
  <c r="Z2" i="2"/>
  <c r="Z22" i="2"/>
  <c r="Z42" i="2"/>
  <c r="Z61" i="2"/>
  <c r="Z80" i="2"/>
  <c r="Z100" i="2"/>
  <c r="Z121" i="2"/>
  <c r="Z140" i="2"/>
  <c r="Z159" i="2"/>
  <c r="Z179" i="2"/>
  <c r="Z200" i="2"/>
  <c r="Z219" i="2"/>
  <c r="Z238" i="2"/>
  <c r="Z258" i="2"/>
  <c r="Z4" i="2"/>
  <c r="Z25" i="2"/>
  <c r="Z44" i="2"/>
  <c r="Z63" i="2"/>
  <c r="Z83" i="2"/>
  <c r="Z104" i="2"/>
  <c r="Z123" i="2"/>
  <c r="Z142" i="2"/>
  <c r="Z162" i="2"/>
  <c r="Z182" i="2"/>
  <c r="Z202" i="2"/>
  <c r="Z221" i="2"/>
  <c r="Z240" i="2"/>
  <c r="Z260" i="2"/>
  <c r="T995" i="2" l="1"/>
  <c r="T979" i="2"/>
  <c r="T963" i="2"/>
  <c r="T947" i="2"/>
  <c r="T931" i="2"/>
  <c r="T915" i="2"/>
  <c r="T899" i="2"/>
  <c r="T883" i="2"/>
  <c r="T867" i="2"/>
  <c r="T851" i="2"/>
  <c r="T835" i="2"/>
  <c r="T819" i="2"/>
  <c r="T803" i="2"/>
  <c r="T994" i="2"/>
  <c r="T978" i="2"/>
  <c r="T962" i="2"/>
  <c r="T946" i="2"/>
  <c r="T930" i="2"/>
  <c r="T914" i="2"/>
  <c r="T898" i="2"/>
  <c r="T882" i="2"/>
  <c r="T866" i="2"/>
  <c r="T850" i="2"/>
  <c r="T834" i="2"/>
  <c r="T818" i="2"/>
  <c r="T802" i="2"/>
  <c r="T786" i="2"/>
  <c r="T770" i="2"/>
  <c r="T754" i="2"/>
  <c r="T738" i="2"/>
  <c r="T722" i="2"/>
  <c r="T706" i="2"/>
  <c r="T690" i="2"/>
  <c r="T674" i="2"/>
  <c r="T658" i="2"/>
  <c r="T642" i="2"/>
  <c r="T626" i="2"/>
  <c r="T991" i="2"/>
  <c r="T973" i="2"/>
  <c r="T955" i="2"/>
  <c r="T937" i="2"/>
  <c r="T919" i="2"/>
  <c r="T901" i="2"/>
  <c r="T881" i="2"/>
  <c r="T863" i="2"/>
  <c r="T845" i="2"/>
  <c r="T827" i="2"/>
  <c r="T809" i="2"/>
  <c r="T791" i="2"/>
  <c r="T774" i="2"/>
  <c r="T757" i="2"/>
  <c r="T740" i="2"/>
  <c r="T723" i="2"/>
  <c r="T705" i="2"/>
  <c r="T688" i="2"/>
  <c r="T671" i="2"/>
  <c r="T654" i="2"/>
  <c r="T637" i="2"/>
  <c r="T620" i="2"/>
  <c r="T604" i="2"/>
  <c r="T588" i="2"/>
  <c r="T572" i="2"/>
  <c r="T556" i="2"/>
  <c r="T540" i="2"/>
  <c r="T524" i="2"/>
  <c r="T508" i="2"/>
  <c r="T492" i="2"/>
  <c r="T476" i="2"/>
  <c r="T460" i="2"/>
  <c r="T444" i="2"/>
  <c r="T428" i="2"/>
  <c r="T412" i="2"/>
  <c r="T396" i="2"/>
  <c r="T380" i="2"/>
  <c r="T364" i="2"/>
  <c r="T348" i="2"/>
  <c r="T332" i="2"/>
  <c r="T316" i="2"/>
  <c r="T300" i="2"/>
  <c r="T284" i="2"/>
  <c r="T268" i="2"/>
  <c r="T252" i="2"/>
  <c r="T236" i="2"/>
  <c r="T220" i="2"/>
  <c r="T204" i="2"/>
  <c r="T188" i="2"/>
  <c r="T172" i="2"/>
  <c r="T156" i="2"/>
  <c r="T140" i="2"/>
  <c r="T124" i="2"/>
  <c r="T108" i="2"/>
  <c r="T92" i="2"/>
  <c r="T76" i="2"/>
  <c r="T60" i="2"/>
  <c r="T44" i="2"/>
  <c r="T28" i="2"/>
  <c r="T12" i="2"/>
  <c r="T90" i="2"/>
  <c r="T26" i="2"/>
  <c r="T201" i="2"/>
  <c r="T105" i="2"/>
  <c r="T41" i="2"/>
  <c r="T168" i="2"/>
  <c r="T990" i="2"/>
  <c r="T972" i="2"/>
  <c r="T954" i="2"/>
  <c r="T936" i="2"/>
  <c r="T918" i="2"/>
  <c r="T900" i="2"/>
  <c r="T880" i="2"/>
  <c r="T862" i="2"/>
  <c r="T844" i="2"/>
  <c r="T826" i="2"/>
  <c r="T808" i="2"/>
  <c r="T790" i="2"/>
  <c r="T773" i="2"/>
  <c r="T756" i="2"/>
  <c r="T739" i="2"/>
  <c r="T721" i="2"/>
  <c r="T704" i="2"/>
  <c r="T687" i="2"/>
  <c r="T670" i="2"/>
  <c r="T653" i="2"/>
  <c r="T636" i="2"/>
  <c r="T619" i="2"/>
  <c r="T603" i="2"/>
  <c r="T587" i="2"/>
  <c r="T571" i="2"/>
  <c r="T555" i="2"/>
  <c r="T539" i="2"/>
  <c r="T523" i="2"/>
  <c r="T507" i="2"/>
  <c r="T491" i="2"/>
  <c r="T475" i="2"/>
  <c r="T459" i="2"/>
  <c r="T443" i="2"/>
  <c r="T427" i="2"/>
  <c r="T411" i="2"/>
  <c r="T395" i="2"/>
  <c r="T379" i="2"/>
  <c r="T363" i="2"/>
  <c r="T347" i="2"/>
  <c r="T331" i="2"/>
  <c r="T315" i="2"/>
  <c r="T299" i="2"/>
  <c r="T283" i="2"/>
  <c r="T267" i="2"/>
  <c r="T251" i="2"/>
  <c r="T235" i="2"/>
  <c r="T219" i="2"/>
  <c r="T203" i="2"/>
  <c r="T187" i="2"/>
  <c r="T171" i="2"/>
  <c r="T155" i="2"/>
  <c r="T139" i="2"/>
  <c r="T123" i="2"/>
  <c r="T107" i="2"/>
  <c r="T91" i="2"/>
  <c r="T75" i="2"/>
  <c r="T59" i="2"/>
  <c r="T43" i="2"/>
  <c r="T27" i="2"/>
  <c r="T11" i="2"/>
  <c r="T458" i="2"/>
  <c r="T378" i="2"/>
  <c r="T346" i="2"/>
  <c r="T314" i="2"/>
  <c r="T282" i="2"/>
  <c r="T250" i="2"/>
  <c r="T218" i="2"/>
  <c r="T202" i="2"/>
  <c r="T170" i="2"/>
  <c r="T138" i="2"/>
  <c r="T106" i="2"/>
  <c r="T58" i="2"/>
  <c r="T10" i="2"/>
  <c r="T185" i="2"/>
  <c r="T153" i="2"/>
  <c r="T89" i="2"/>
  <c r="T57" i="2"/>
  <c r="T200" i="2"/>
  <c r="T104" i="2"/>
  <c r="T989" i="2"/>
  <c r="T971" i="2"/>
  <c r="T953" i="2"/>
  <c r="T935" i="2"/>
  <c r="T917" i="2"/>
  <c r="T897" i="2"/>
  <c r="T879" i="2"/>
  <c r="T861" i="2"/>
  <c r="T843" i="2"/>
  <c r="T825" i="2"/>
  <c r="T807" i="2"/>
  <c r="T789" i="2"/>
  <c r="T772" i="2"/>
  <c r="T755" i="2"/>
  <c r="T737" i="2"/>
  <c r="T720" i="2"/>
  <c r="T703" i="2"/>
  <c r="T686" i="2"/>
  <c r="T669" i="2"/>
  <c r="T652" i="2"/>
  <c r="T635" i="2"/>
  <c r="T618" i="2"/>
  <c r="T602" i="2"/>
  <c r="T586" i="2"/>
  <c r="T570" i="2"/>
  <c r="T554" i="2"/>
  <c r="T538" i="2"/>
  <c r="T522" i="2"/>
  <c r="T506" i="2"/>
  <c r="T490" i="2"/>
  <c r="T474" i="2"/>
  <c r="T442" i="2"/>
  <c r="T426" i="2"/>
  <c r="T410" i="2"/>
  <c r="T394" i="2"/>
  <c r="T362" i="2"/>
  <c r="T330" i="2"/>
  <c r="T298" i="2"/>
  <c r="T266" i="2"/>
  <c r="T234" i="2"/>
  <c r="T186" i="2"/>
  <c r="T154" i="2"/>
  <c r="T122" i="2"/>
  <c r="T74" i="2"/>
  <c r="T42" i="2"/>
  <c r="T217" i="2"/>
  <c r="T121" i="2"/>
  <c r="T25" i="2"/>
  <c r="T152" i="2"/>
  <c r="T988" i="2"/>
  <c r="T970" i="2"/>
  <c r="T952" i="2"/>
  <c r="T934" i="2"/>
  <c r="T916" i="2"/>
  <c r="T896" i="2"/>
  <c r="T878" i="2"/>
  <c r="T860" i="2"/>
  <c r="T842" i="2"/>
  <c r="T824" i="2"/>
  <c r="T806" i="2"/>
  <c r="T788" i="2"/>
  <c r="T771" i="2"/>
  <c r="T753" i="2"/>
  <c r="T736" i="2"/>
  <c r="T719" i="2"/>
  <c r="T702" i="2"/>
  <c r="T685" i="2"/>
  <c r="T668" i="2"/>
  <c r="T651" i="2"/>
  <c r="T634" i="2"/>
  <c r="T617" i="2"/>
  <c r="T601" i="2"/>
  <c r="T585" i="2"/>
  <c r="T569" i="2"/>
  <c r="T553" i="2"/>
  <c r="T537" i="2"/>
  <c r="T521" i="2"/>
  <c r="T505" i="2"/>
  <c r="T489" i="2"/>
  <c r="T473" i="2"/>
  <c r="T457" i="2"/>
  <c r="T441" i="2"/>
  <c r="T425" i="2"/>
  <c r="T409" i="2"/>
  <c r="T393" i="2"/>
  <c r="T377" i="2"/>
  <c r="T361" i="2"/>
  <c r="T345" i="2"/>
  <c r="T329" i="2"/>
  <c r="T313" i="2"/>
  <c r="T297" i="2"/>
  <c r="T281" i="2"/>
  <c r="T265" i="2"/>
  <c r="T249" i="2"/>
  <c r="T233" i="2"/>
  <c r="T169" i="2"/>
  <c r="T137" i="2"/>
  <c r="T73" i="2"/>
  <c r="T9" i="2"/>
  <c r="T120" i="2"/>
  <c r="T987" i="2"/>
  <c r="T969" i="2"/>
  <c r="T951" i="2"/>
  <c r="T933" i="2"/>
  <c r="T913" i="2"/>
  <c r="T895" i="2"/>
  <c r="T877" i="2"/>
  <c r="T859" i="2"/>
  <c r="T841" i="2"/>
  <c r="T823" i="2"/>
  <c r="T805" i="2"/>
  <c r="T787" i="2"/>
  <c r="T769" i="2"/>
  <c r="T752" i="2"/>
  <c r="T735" i="2"/>
  <c r="T718" i="2"/>
  <c r="T701" i="2"/>
  <c r="T684" i="2"/>
  <c r="T667" i="2"/>
  <c r="T650" i="2"/>
  <c r="T633" i="2"/>
  <c r="T616" i="2"/>
  <c r="T600" i="2"/>
  <c r="T584" i="2"/>
  <c r="T568" i="2"/>
  <c r="T552" i="2"/>
  <c r="T536" i="2"/>
  <c r="T520" i="2"/>
  <c r="T504" i="2"/>
  <c r="T488" i="2"/>
  <c r="T472" i="2"/>
  <c r="T456" i="2"/>
  <c r="T440" i="2"/>
  <c r="T424" i="2"/>
  <c r="T408" i="2"/>
  <c r="T392" i="2"/>
  <c r="T376" i="2"/>
  <c r="T360" i="2"/>
  <c r="T344" i="2"/>
  <c r="T328" i="2"/>
  <c r="T312" i="2"/>
  <c r="T296" i="2"/>
  <c r="T280" i="2"/>
  <c r="T264" i="2"/>
  <c r="T248" i="2"/>
  <c r="T232" i="2"/>
  <c r="T216" i="2"/>
  <c r="T184" i="2"/>
  <c r="T136" i="2"/>
  <c r="T986" i="2"/>
  <c r="T968" i="2"/>
  <c r="T950" i="2"/>
  <c r="T932" i="2"/>
  <c r="T912" i="2"/>
  <c r="T894" i="2"/>
  <c r="T876" i="2"/>
  <c r="T858" i="2"/>
  <c r="T840" i="2"/>
  <c r="T822" i="2"/>
  <c r="T804" i="2"/>
  <c r="T785" i="2"/>
  <c r="T768" i="2"/>
  <c r="T751" i="2"/>
  <c r="T734" i="2"/>
  <c r="T717" i="2"/>
  <c r="T700" i="2"/>
  <c r="T683" i="2"/>
  <c r="T666" i="2"/>
  <c r="T649" i="2"/>
  <c r="T632" i="2"/>
  <c r="T615" i="2"/>
  <c r="T599" i="2"/>
  <c r="T583" i="2"/>
  <c r="T567" i="2"/>
  <c r="T551" i="2"/>
  <c r="T535" i="2"/>
  <c r="T519" i="2"/>
  <c r="T503" i="2"/>
  <c r="T487" i="2"/>
  <c r="T471" i="2"/>
  <c r="T455" i="2"/>
  <c r="T439" i="2"/>
  <c r="T423" i="2"/>
  <c r="T407" i="2"/>
  <c r="T391" i="2"/>
  <c r="T375" i="2"/>
  <c r="T359" i="2"/>
  <c r="T343" i="2"/>
  <c r="T327" i="2"/>
  <c r="T311" i="2"/>
  <c r="T295" i="2"/>
  <c r="T279" i="2"/>
  <c r="T263" i="2"/>
  <c r="T247" i="2"/>
  <c r="T231" i="2"/>
  <c r="T215" i="2"/>
  <c r="T199" i="2"/>
  <c r="T183" i="2"/>
  <c r="T167" i="2"/>
  <c r="T985" i="2"/>
  <c r="T967" i="2"/>
  <c r="T949" i="2"/>
  <c r="T929" i="2"/>
  <c r="T911" i="2"/>
  <c r="T893" i="2"/>
  <c r="T875" i="2"/>
  <c r="T857" i="2"/>
  <c r="T839" i="2"/>
  <c r="T821" i="2"/>
  <c r="T801" i="2"/>
  <c r="T784" i="2"/>
  <c r="T993" i="2"/>
  <c r="T959" i="2"/>
  <c r="T925" i="2"/>
  <c r="T891" i="2"/>
  <c r="T864" i="2"/>
  <c r="T830" i="2"/>
  <c r="T796" i="2"/>
  <c r="T765" i="2"/>
  <c r="T742" i="2"/>
  <c r="T712" i="2"/>
  <c r="T682" i="2"/>
  <c r="T659" i="2"/>
  <c r="T629" i="2"/>
  <c r="T606" i="2"/>
  <c r="T578" i="2"/>
  <c r="T550" i="2"/>
  <c r="T528" i="2"/>
  <c r="T500" i="2"/>
  <c r="T478" i="2"/>
  <c r="T450" i="2"/>
  <c r="T422" i="2"/>
  <c r="T400" i="2"/>
  <c r="T372" i="2"/>
  <c r="T350" i="2"/>
  <c r="T322" i="2"/>
  <c r="T294" i="2"/>
  <c r="T272" i="2"/>
  <c r="T244" i="2"/>
  <c r="T222" i="2"/>
  <c r="T194" i="2"/>
  <c r="T166" i="2"/>
  <c r="T145" i="2"/>
  <c r="T119" i="2"/>
  <c r="T98" i="2"/>
  <c r="T78" i="2"/>
  <c r="T54" i="2"/>
  <c r="T34" i="2"/>
  <c r="T14" i="2"/>
  <c r="T628" i="2"/>
  <c r="T477" i="2"/>
  <c r="T421" i="2"/>
  <c r="T371" i="2"/>
  <c r="T321" i="2"/>
  <c r="T271" i="2"/>
  <c r="T221" i="2"/>
  <c r="T193" i="2"/>
  <c r="T144" i="2"/>
  <c r="T97" i="2"/>
  <c r="T53" i="2"/>
  <c r="T13" i="2"/>
  <c r="T498" i="2"/>
  <c r="T398" i="2"/>
  <c r="T342" i="2"/>
  <c r="T270" i="2"/>
  <c r="T192" i="2"/>
  <c r="T117" i="2"/>
  <c r="T72" i="2"/>
  <c r="T32" i="2"/>
  <c r="T525" i="2"/>
  <c r="T397" i="2"/>
  <c r="T319" i="2"/>
  <c r="T241" i="2"/>
  <c r="T163" i="2"/>
  <c r="T116" i="2"/>
  <c r="T51" i="2"/>
  <c r="T468" i="2"/>
  <c r="T318" i="2"/>
  <c r="T240" i="2"/>
  <c r="T162" i="2"/>
  <c r="T94" i="2"/>
  <c r="T30" i="2"/>
  <c r="T288" i="2"/>
  <c r="T160" i="2"/>
  <c r="T24" i="2"/>
  <c r="T255" i="2"/>
  <c r="T965" i="2"/>
  <c r="T716" i="2"/>
  <c r="T560" i="2"/>
  <c r="T382" i="2"/>
  <c r="T254" i="2"/>
  <c r="T149" i="2"/>
  <c r="T38" i="2"/>
  <c r="T531" i="2"/>
  <c r="T353" i="2"/>
  <c r="T197" i="2"/>
  <c r="T127" i="2"/>
  <c r="T17" i="2"/>
  <c r="T452" i="2"/>
  <c r="T992" i="2"/>
  <c r="T958" i="2"/>
  <c r="T924" i="2"/>
  <c r="T890" i="2"/>
  <c r="T856" i="2"/>
  <c r="T829" i="2"/>
  <c r="T795" i="2"/>
  <c r="T764" i="2"/>
  <c r="T741" i="2"/>
  <c r="T711" i="2"/>
  <c r="T681" i="2"/>
  <c r="T657" i="2"/>
  <c r="T605" i="2"/>
  <c r="T577" i="2"/>
  <c r="T549" i="2"/>
  <c r="T527" i="2"/>
  <c r="T499" i="2"/>
  <c r="T449" i="2"/>
  <c r="T399" i="2"/>
  <c r="T349" i="2"/>
  <c r="T293" i="2"/>
  <c r="T243" i="2"/>
  <c r="T165" i="2"/>
  <c r="T118" i="2"/>
  <c r="T77" i="2"/>
  <c r="T33" i="2"/>
  <c r="T448" i="2"/>
  <c r="T320" i="2"/>
  <c r="T214" i="2"/>
  <c r="T164" i="2"/>
  <c r="T96" i="2"/>
  <c r="T52" i="2"/>
  <c r="T497" i="2"/>
  <c r="T369" i="2"/>
  <c r="T291" i="2"/>
  <c r="T213" i="2"/>
  <c r="T95" i="2"/>
  <c r="T7" i="2"/>
  <c r="T390" i="2"/>
  <c r="T290" i="2"/>
  <c r="T212" i="2"/>
  <c r="T141" i="2"/>
  <c r="T50" i="2"/>
  <c r="T238" i="2"/>
  <c r="T113" i="2"/>
  <c r="T483" i="2"/>
  <c r="T836" i="2"/>
  <c r="T276" i="2"/>
  <c r="T275" i="2"/>
  <c r="T81" i="2"/>
  <c r="T832" i="2"/>
  <c r="T56" i="2"/>
  <c r="T984" i="2"/>
  <c r="T957" i="2"/>
  <c r="T923" i="2"/>
  <c r="T889" i="2"/>
  <c r="T855" i="2"/>
  <c r="T828" i="2"/>
  <c r="T794" i="2"/>
  <c r="T763" i="2"/>
  <c r="T733" i="2"/>
  <c r="T710" i="2"/>
  <c r="T680" i="2"/>
  <c r="T656" i="2"/>
  <c r="T627" i="2"/>
  <c r="T598" i="2"/>
  <c r="T576" i="2"/>
  <c r="T548" i="2"/>
  <c r="T526" i="2"/>
  <c r="T470" i="2"/>
  <c r="T420" i="2"/>
  <c r="T370" i="2"/>
  <c r="T292" i="2"/>
  <c r="T242" i="2"/>
  <c r="T143" i="2"/>
  <c r="T8" i="2"/>
  <c r="T447" i="2"/>
  <c r="T269" i="2"/>
  <c r="T142" i="2"/>
  <c r="T71" i="2"/>
  <c r="T31" i="2"/>
  <c r="T446" i="2"/>
  <c r="T262" i="2"/>
  <c r="T115" i="2"/>
  <c r="T6" i="2"/>
  <c r="T210" i="2"/>
  <c r="T664" i="2"/>
  <c r="T62" i="2"/>
  <c r="T530" i="2"/>
  <c r="T983" i="2"/>
  <c r="T956" i="2"/>
  <c r="T922" i="2"/>
  <c r="T888" i="2"/>
  <c r="T854" i="2"/>
  <c r="T820" i="2"/>
  <c r="T793" i="2"/>
  <c r="T762" i="2"/>
  <c r="T732" i="2"/>
  <c r="T709" i="2"/>
  <c r="T679" i="2"/>
  <c r="T655" i="2"/>
  <c r="T625" i="2"/>
  <c r="T597" i="2"/>
  <c r="T575" i="2"/>
  <c r="T547" i="2"/>
  <c r="T469" i="2"/>
  <c r="T419" i="2"/>
  <c r="T341" i="2"/>
  <c r="T191" i="2"/>
  <c r="T368" i="2"/>
  <c r="T70" i="2"/>
  <c r="T48" i="2"/>
  <c r="T966" i="2"/>
  <c r="T999" i="2"/>
  <c r="T961" i="2"/>
  <c r="T982" i="2"/>
  <c r="T948" i="2"/>
  <c r="T921" i="2"/>
  <c r="T887" i="2"/>
  <c r="T853" i="2"/>
  <c r="T817" i="2"/>
  <c r="T792" i="2"/>
  <c r="T761" i="2"/>
  <c r="T731" i="2"/>
  <c r="T708" i="2"/>
  <c r="T678" i="2"/>
  <c r="T648" i="2"/>
  <c r="T624" i="2"/>
  <c r="T596" i="2"/>
  <c r="T574" i="2"/>
  <c r="T546" i="2"/>
  <c r="T518" i="2"/>
  <c r="T496" i="2"/>
  <c r="T418" i="2"/>
  <c r="T340" i="2"/>
  <c r="T190" i="2"/>
  <c r="T68" i="2"/>
  <c r="T905" i="2"/>
  <c r="T694" i="2"/>
  <c r="T561" i="2"/>
  <c r="T405" i="2"/>
  <c r="T305" i="2"/>
  <c r="T129" i="2"/>
  <c r="T870" i="2"/>
  <c r="T608" i="2"/>
  <c r="T981" i="2"/>
  <c r="T945" i="2"/>
  <c r="T920" i="2"/>
  <c r="T886" i="2"/>
  <c r="T852" i="2"/>
  <c r="T816" i="2"/>
  <c r="T783" i="2"/>
  <c r="T760" i="2"/>
  <c r="T730" i="2"/>
  <c r="T707" i="2"/>
  <c r="T677" i="2"/>
  <c r="T647" i="2"/>
  <c r="T623" i="2"/>
  <c r="T595" i="2"/>
  <c r="T573" i="2"/>
  <c r="T545" i="2"/>
  <c r="T517" i="2"/>
  <c r="T495" i="2"/>
  <c r="T467" i="2"/>
  <c r="T445" i="2"/>
  <c r="T417" i="2"/>
  <c r="T389" i="2"/>
  <c r="T367" i="2"/>
  <c r="T339" i="2"/>
  <c r="T317" i="2"/>
  <c r="T289" i="2"/>
  <c r="T261" i="2"/>
  <c r="T239" i="2"/>
  <c r="T211" i="2"/>
  <c r="T189" i="2"/>
  <c r="T161" i="2"/>
  <c r="T135" i="2"/>
  <c r="T114" i="2"/>
  <c r="T93" i="2"/>
  <c r="T69" i="2"/>
  <c r="T49" i="2"/>
  <c r="T29" i="2"/>
  <c r="T5" i="2"/>
  <c r="T388" i="2"/>
  <c r="T310" i="2"/>
  <c r="T182" i="2"/>
  <c r="T134" i="2"/>
  <c r="T4" i="2"/>
  <c r="T871" i="2"/>
  <c r="T640" i="2"/>
  <c r="T533" i="2"/>
  <c r="T461" i="2"/>
  <c r="T333" i="2"/>
  <c r="T277" i="2"/>
  <c r="T205" i="2"/>
  <c r="T150" i="2"/>
  <c r="T83" i="2"/>
  <c r="T39" i="2"/>
  <c r="T938" i="2"/>
  <c r="T800" i="2"/>
  <c r="T693" i="2"/>
  <c r="T610" i="2"/>
  <c r="T582" i="2"/>
  <c r="T532" i="2"/>
  <c r="T510" i="2"/>
  <c r="T404" i="2"/>
  <c r="T304" i="2"/>
  <c r="T226" i="2"/>
  <c r="T176" i="2"/>
  <c r="T128" i="2"/>
  <c r="T82" i="2"/>
  <c r="T609" i="2"/>
  <c r="T253" i="2"/>
  <c r="T61" i="2"/>
  <c r="T902" i="2"/>
  <c r="T767" i="2"/>
  <c r="T691" i="2"/>
  <c r="T502" i="2"/>
  <c r="T402" i="2"/>
  <c r="T302" i="2"/>
  <c r="T224" i="2"/>
  <c r="T174" i="2"/>
  <c r="T100" i="2"/>
  <c r="T36" i="2"/>
  <c r="T980" i="2"/>
  <c r="T944" i="2"/>
  <c r="T910" i="2"/>
  <c r="T885" i="2"/>
  <c r="T849" i="2"/>
  <c r="T815" i="2"/>
  <c r="T782" i="2"/>
  <c r="T759" i="2"/>
  <c r="T729" i="2"/>
  <c r="T699" i="2"/>
  <c r="T676" i="2"/>
  <c r="T646" i="2"/>
  <c r="T622" i="2"/>
  <c r="T594" i="2"/>
  <c r="T566" i="2"/>
  <c r="T544" i="2"/>
  <c r="T516" i="2"/>
  <c r="T494" i="2"/>
  <c r="T466" i="2"/>
  <c r="T438" i="2"/>
  <c r="T416" i="2"/>
  <c r="T366" i="2"/>
  <c r="T338" i="2"/>
  <c r="T260" i="2"/>
  <c r="T88" i="2"/>
  <c r="T1000" i="2"/>
  <c r="T724" i="2"/>
  <c r="T511" i="2"/>
  <c r="T227" i="2"/>
  <c r="T663" i="2"/>
  <c r="T714" i="2"/>
  <c r="T977" i="2"/>
  <c r="T943" i="2"/>
  <c r="T909" i="2"/>
  <c r="T884" i="2"/>
  <c r="T848" i="2"/>
  <c r="T814" i="2"/>
  <c r="T781" i="2"/>
  <c r="T758" i="2"/>
  <c r="T728" i="2"/>
  <c r="T698" i="2"/>
  <c r="T675" i="2"/>
  <c r="T645" i="2"/>
  <c r="T621" i="2"/>
  <c r="T593" i="2"/>
  <c r="T565" i="2"/>
  <c r="T543" i="2"/>
  <c r="T515" i="2"/>
  <c r="T493" i="2"/>
  <c r="T465" i="2"/>
  <c r="T437" i="2"/>
  <c r="T415" i="2"/>
  <c r="T387" i="2"/>
  <c r="T365" i="2"/>
  <c r="T337" i="2"/>
  <c r="T309" i="2"/>
  <c r="T287" i="2"/>
  <c r="T259" i="2"/>
  <c r="T237" i="2"/>
  <c r="T209" i="2"/>
  <c r="T181" i="2"/>
  <c r="T159" i="2"/>
  <c r="T133" i="2"/>
  <c r="T112" i="2"/>
  <c r="T87" i="2"/>
  <c r="T67" i="2"/>
  <c r="T47" i="2"/>
  <c r="T23" i="2"/>
  <c r="T3" i="2"/>
  <c r="T942" i="2"/>
  <c r="T874" i="2"/>
  <c r="T813" i="2"/>
  <c r="T780" i="2"/>
  <c r="T727" i="2"/>
  <c r="T697" i="2"/>
  <c r="T673" i="2"/>
  <c r="T614" i="2"/>
  <c r="T592" i="2"/>
  <c r="T564" i="2"/>
  <c r="T514" i="2"/>
  <c r="T486" i="2"/>
  <c r="T436" i="2"/>
  <c r="T386" i="2"/>
  <c r="T358" i="2"/>
  <c r="T308" i="2"/>
  <c r="T258" i="2"/>
  <c r="T230" i="2"/>
  <c r="T180" i="2"/>
  <c r="T132" i="2"/>
  <c r="T86" i="2"/>
  <c r="T46" i="2"/>
  <c r="T976" i="2"/>
  <c r="T908" i="2"/>
  <c r="T847" i="2"/>
  <c r="T750" i="2"/>
  <c r="T644" i="2"/>
  <c r="T542" i="2"/>
  <c r="T464" i="2"/>
  <c r="T414" i="2"/>
  <c r="T336" i="2"/>
  <c r="T286" i="2"/>
  <c r="T208" i="2"/>
  <c r="T158" i="2"/>
  <c r="T111" i="2"/>
  <c r="T66" i="2"/>
  <c r="T22" i="2"/>
  <c r="T777" i="2"/>
  <c r="T433" i="2"/>
  <c r="T177" i="2"/>
  <c r="T19" i="2"/>
  <c r="T904" i="2"/>
  <c r="T639" i="2"/>
  <c r="T482" i="2"/>
  <c r="T326" i="2"/>
  <c r="T198" i="2"/>
  <c r="T102" i="2"/>
  <c r="T18" i="2"/>
  <c r="T559" i="2"/>
  <c r="T303" i="2"/>
  <c r="T148" i="2"/>
  <c r="T997" i="2"/>
  <c r="T868" i="2"/>
  <c r="T744" i="2"/>
  <c r="T631" i="2"/>
  <c r="T480" i="2"/>
  <c r="T374" i="2"/>
  <c r="T246" i="2"/>
  <c r="T196" i="2"/>
  <c r="T147" i="2"/>
  <c r="T80" i="2"/>
  <c r="T16" i="2"/>
  <c r="T975" i="2"/>
  <c r="T941" i="2"/>
  <c r="T907" i="2"/>
  <c r="T873" i="2"/>
  <c r="T846" i="2"/>
  <c r="T812" i="2"/>
  <c r="T779" i="2"/>
  <c r="T749" i="2"/>
  <c r="T726" i="2"/>
  <c r="T696" i="2"/>
  <c r="T672" i="2"/>
  <c r="T643" i="2"/>
  <c r="T613" i="2"/>
  <c r="T591" i="2"/>
  <c r="T563" i="2"/>
  <c r="T541" i="2"/>
  <c r="T513" i="2"/>
  <c r="T485" i="2"/>
  <c r="T463" i="2"/>
  <c r="T435" i="2"/>
  <c r="T413" i="2"/>
  <c r="T385" i="2"/>
  <c r="T357" i="2"/>
  <c r="T335" i="2"/>
  <c r="T307" i="2"/>
  <c r="T285" i="2"/>
  <c r="T257" i="2"/>
  <c r="T229" i="2"/>
  <c r="T207" i="2"/>
  <c r="T179" i="2"/>
  <c r="T157" i="2"/>
  <c r="T131" i="2"/>
  <c r="T110" i="2"/>
  <c r="T85" i="2"/>
  <c r="T65" i="2"/>
  <c r="T45" i="2"/>
  <c r="T21" i="2"/>
  <c r="T2" i="2"/>
  <c r="T228" i="2"/>
  <c r="T130" i="2"/>
  <c r="T84" i="2"/>
  <c r="T40" i="2"/>
  <c r="T611" i="2"/>
  <c r="T103" i="2"/>
  <c r="T454" i="2"/>
  <c r="T37" i="2"/>
  <c r="T661" i="2"/>
  <c r="T974" i="2"/>
  <c r="T940" i="2"/>
  <c r="T906" i="2"/>
  <c r="T872" i="2"/>
  <c r="T838" i="2"/>
  <c r="T811" i="2"/>
  <c r="T778" i="2"/>
  <c r="T748" i="2"/>
  <c r="T725" i="2"/>
  <c r="T695" i="2"/>
  <c r="T665" i="2"/>
  <c r="T641" i="2"/>
  <c r="T612" i="2"/>
  <c r="T590" i="2"/>
  <c r="T562" i="2"/>
  <c r="T534" i="2"/>
  <c r="T512" i="2"/>
  <c r="T484" i="2"/>
  <c r="T462" i="2"/>
  <c r="T434" i="2"/>
  <c r="T406" i="2"/>
  <c r="T384" i="2"/>
  <c r="T356" i="2"/>
  <c r="T334" i="2"/>
  <c r="T306" i="2"/>
  <c r="T278" i="2"/>
  <c r="T256" i="2"/>
  <c r="T206" i="2"/>
  <c r="T178" i="2"/>
  <c r="T151" i="2"/>
  <c r="T109" i="2"/>
  <c r="T64" i="2"/>
  <c r="T20" i="2"/>
  <c r="T810" i="2"/>
  <c r="T355" i="2"/>
  <c r="T432" i="2"/>
  <c r="T352" i="2"/>
  <c r="T939" i="2"/>
  <c r="T837" i="2"/>
  <c r="T747" i="2"/>
  <c r="T589" i="2"/>
  <c r="T383" i="2"/>
  <c r="T63" i="2"/>
  <c r="T776" i="2"/>
  <c r="T274" i="2"/>
  <c r="T746" i="2"/>
  <c r="T354" i="2"/>
  <c r="T798" i="2"/>
  <c r="T998" i="2"/>
  <c r="T964" i="2"/>
  <c r="T928" i="2"/>
  <c r="T903" i="2"/>
  <c r="T869" i="2"/>
  <c r="T833" i="2"/>
  <c r="T799" i="2"/>
  <c r="T775" i="2"/>
  <c r="T745" i="2"/>
  <c r="T715" i="2"/>
  <c r="T692" i="2"/>
  <c r="T662" i="2"/>
  <c r="T638" i="2"/>
  <c r="T581" i="2"/>
  <c r="T509" i="2"/>
  <c r="T481" i="2"/>
  <c r="T453" i="2"/>
  <c r="T431" i="2"/>
  <c r="T403" i="2"/>
  <c r="T381" i="2"/>
  <c r="T325" i="2"/>
  <c r="T225" i="2"/>
  <c r="T175" i="2"/>
  <c r="T101" i="2"/>
  <c r="T927" i="2"/>
  <c r="T580" i="2"/>
  <c r="T324" i="2"/>
  <c r="T126" i="2"/>
  <c r="T558" i="2"/>
  <c r="T996" i="2"/>
  <c r="T960" i="2"/>
  <c r="T926" i="2"/>
  <c r="T892" i="2"/>
  <c r="T865" i="2"/>
  <c r="T831" i="2"/>
  <c r="T797" i="2"/>
  <c r="T766" i="2"/>
  <c r="T743" i="2"/>
  <c r="T713" i="2"/>
  <c r="T689" i="2"/>
  <c r="T660" i="2"/>
  <c r="T630" i="2"/>
  <c r="T607" i="2"/>
  <c r="T579" i="2"/>
  <c r="T557" i="2"/>
  <c r="T529" i="2"/>
  <c r="T501" i="2"/>
  <c r="T479" i="2"/>
  <c r="T451" i="2"/>
  <c r="T429" i="2"/>
  <c r="T401" i="2"/>
  <c r="T373" i="2"/>
  <c r="T351" i="2"/>
  <c r="T323" i="2"/>
  <c r="T301" i="2"/>
  <c r="T273" i="2"/>
  <c r="T245" i="2"/>
  <c r="T223" i="2"/>
  <c r="T195" i="2"/>
  <c r="T173" i="2"/>
  <c r="T146" i="2"/>
  <c r="T125" i="2"/>
  <c r="T99" i="2"/>
  <c r="T79" i="2"/>
  <c r="T55" i="2"/>
  <c r="T35" i="2"/>
  <c r="T15" i="2"/>
  <c r="T430" i="2"/>
  <c r="U996" i="2"/>
  <c r="U980" i="2"/>
  <c r="U964" i="2"/>
  <c r="U948" i="2"/>
  <c r="U932" i="2"/>
  <c r="U916" i="2"/>
  <c r="U900" i="2"/>
  <c r="U884" i="2"/>
  <c r="U998" i="2"/>
  <c r="U981" i="2"/>
  <c r="U963" i="2"/>
  <c r="U946" i="2"/>
  <c r="U929" i="2"/>
  <c r="U912" i="2"/>
  <c r="U895" i="2"/>
  <c r="U878" i="2"/>
  <c r="U862" i="2"/>
  <c r="U846" i="2"/>
  <c r="U830" i="2"/>
  <c r="U814" i="2"/>
  <c r="U798" i="2"/>
  <c r="U782" i="2"/>
  <c r="U766" i="2"/>
  <c r="U750" i="2"/>
  <c r="U734" i="2"/>
  <c r="U718" i="2"/>
  <c r="U702" i="2"/>
  <c r="U686" i="2"/>
  <c r="U670" i="2"/>
  <c r="U654" i="2"/>
  <c r="U638" i="2"/>
  <c r="U622" i="2"/>
  <c r="U606" i="2"/>
  <c r="U590" i="2"/>
  <c r="U574" i="2"/>
  <c r="U558" i="2"/>
  <c r="U542" i="2"/>
  <c r="U526" i="2"/>
  <c r="U510" i="2"/>
  <c r="U494" i="2"/>
  <c r="U478" i="2"/>
  <c r="U462" i="2"/>
  <c r="U446" i="2"/>
  <c r="U430" i="2"/>
  <c r="U414" i="2"/>
  <c r="U398" i="2"/>
  <c r="U382" i="2"/>
  <c r="U366" i="2"/>
  <c r="U350" i="2"/>
  <c r="U334" i="2"/>
  <c r="U318" i="2"/>
  <c r="U302" i="2"/>
  <c r="U286" i="2"/>
  <c r="U270" i="2"/>
  <c r="U254" i="2"/>
  <c r="U997" i="2"/>
  <c r="U979" i="2"/>
  <c r="U962" i="2"/>
  <c r="U995" i="2"/>
  <c r="U978" i="2"/>
  <c r="U961" i="2"/>
  <c r="U944" i="2"/>
  <c r="U927" i="2"/>
  <c r="U910" i="2"/>
  <c r="U893" i="2"/>
  <c r="U876" i="2"/>
  <c r="U860" i="2"/>
  <c r="U844" i="2"/>
  <c r="U828" i="2"/>
  <c r="U812" i="2"/>
  <c r="U796" i="2"/>
  <c r="U780" i="2"/>
  <c r="U764" i="2"/>
  <c r="U748" i="2"/>
  <c r="U994" i="2"/>
  <c r="U974" i="2"/>
  <c r="U954" i="2"/>
  <c r="U935" i="2"/>
  <c r="U915" i="2"/>
  <c r="U896" i="2"/>
  <c r="U875" i="2"/>
  <c r="U857" i="2"/>
  <c r="U839" i="2"/>
  <c r="U821" i="2"/>
  <c r="U803" i="2"/>
  <c r="U785" i="2"/>
  <c r="U767" i="2"/>
  <c r="U747" i="2"/>
  <c r="U730" i="2"/>
  <c r="U713" i="2"/>
  <c r="U696" i="2"/>
  <c r="U679" i="2"/>
  <c r="U662" i="2"/>
  <c r="U645" i="2"/>
  <c r="U628" i="2"/>
  <c r="U611" i="2"/>
  <c r="U594" i="2"/>
  <c r="U577" i="2"/>
  <c r="U560" i="2"/>
  <c r="U543" i="2"/>
  <c r="U525" i="2"/>
  <c r="U508" i="2"/>
  <c r="U491" i="2"/>
  <c r="U474" i="2"/>
  <c r="U457" i="2"/>
  <c r="U440" i="2"/>
  <c r="U423" i="2"/>
  <c r="U406" i="2"/>
  <c r="U389" i="2"/>
  <c r="U372" i="2"/>
  <c r="U355" i="2"/>
  <c r="U338" i="2"/>
  <c r="U321" i="2"/>
  <c r="U304" i="2"/>
  <c r="U287" i="2"/>
  <c r="U269" i="2"/>
  <c r="U252" i="2"/>
  <c r="U236" i="2"/>
  <c r="U220" i="2"/>
  <c r="U204" i="2"/>
  <c r="U188" i="2"/>
  <c r="U172" i="2"/>
  <c r="U156" i="2"/>
  <c r="U140" i="2"/>
  <c r="U124" i="2"/>
  <c r="U108" i="2"/>
  <c r="U92" i="2"/>
  <c r="U76" i="2"/>
  <c r="U60" i="2"/>
  <c r="U44" i="2"/>
  <c r="U28" i="2"/>
  <c r="U12" i="2"/>
  <c r="U993" i="2"/>
  <c r="U973" i="2"/>
  <c r="U953" i="2"/>
  <c r="U934" i="2"/>
  <c r="U914" i="2"/>
  <c r="U894" i="2"/>
  <c r="U874" i="2"/>
  <c r="U856" i="2"/>
  <c r="U838" i="2"/>
  <c r="U820" i="2"/>
  <c r="U802" i="2"/>
  <c r="U784" i="2"/>
  <c r="U765" i="2"/>
  <c r="U746" i="2"/>
  <c r="U729" i="2"/>
  <c r="U712" i="2"/>
  <c r="U695" i="2"/>
  <c r="U678" i="2"/>
  <c r="U661" i="2"/>
  <c r="U644" i="2"/>
  <c r="U627" i="2"/>
  <c r="U610" i="2"/>
  <c r="U593" i="2"/>
  <c r="U576" i="2"/>
  <c r="U559" i="2"/>
  <c r="U541" i="2"/>
  <c r="U524" i="2"/>
  <c r="U507" i="2"/>
  <c r="U490" i="2"/>
  <c r="U473" i="2"/>
  <c r="U456" i="2"/>
  <c r="U439" i="2"/>
  <c r="U422" i="2"/>
  <c r="U405" i="2"/>
  <c r="U388" i="2"/>
  <c r="U371" i="2"/>
  <c r="U354" i="2"/>
  <c r="U337" i="2"/>
  <c r="U320" i="2"/>
  <c r="U303" i="2"/>
  <c r="U285" i="2"/>
  <c r="U268" i="2"/>
  <c r="U251" i="2"/>
  <c r="U235" i="2"/>
  <c r="U219" i="2"/>
  <c r="U203" i="2"/>
  <c r="U187" i="2"/>
  <c r="U171" i="2"/>
  <c r="U155" i="2"/>
  <c r="U139" i="2"/>
  <c r="U123" i="2"/>
  <c r="U107" i="2"/>
  <c r="U91" i="2"/>
  <c r="U75" i="2"/>
  <c r="U59" i="2"/>
  <c r="U43" i="2"/>
  <c r="U27" i="2"/>
  <c r="U11" i="2"/>
  <c r="U992" i="2"/>
  <c r="U972" i="2"/>
  <c r="U952" i="2"/>
  <c r="U933" i="2"/>
  <c r="U913" i="2"/>
  <c r="U892" i="2"/>
  <c r="U873" i="2"/>
  <c r="U855" i="2"/>
  <c r="U837" i="2"/>
  <c r="U819" i="2"/>
  <c r="U801" i="2"/>
  <c r="U783" i="2"/>
  <c r="U763" i="2"/>
  <c r="U745" i="2"/>
  <c r="U728" i="2"/>
  <c r="U711" i="2"/>
  <c r="U694" i="2"/>
  <c r="U677" i="2"/>
  <c r="U660" i="2"/>
  <c r="U643" i="2"/>
  <c r="U626" i="2"/>
  <c r="U609" i="2"/>
  <c r="U592" i="2"/>
  <c r="U575" i="2"/>
  <c r="U557" i="2"/>
  <c r="U540" i="2"/>
  <c r="U523" i="2"/>
  <c r="U506" i="2"/>
  <c r="U489" i="2"/>
  <c r="U472" i="2"/>
  <c r="U455" i="2"/>
  <c r="U438" i="2"/>
  <c r="U421" i="2"/>
  <c r="U404" i="2"/>
  <c r="U387" i="2"/>
  <c r="U370" i="2"/>
  <c r="U353" i="2"/>
  <c r="U336" i="2"/>
  <c r="U319" i="2"/>
  <c r="U301" i="2"/>
  <c r="U284" i="2"/>
  <c r="U267" i="2"/>
  <c r="U250" i="2"/>
  <c r="U234" i="2"/>
  <c r="U218" i="2"/>
  <c r="U202" i="2"/>
  <c r="U186" i="2"/>
  <c r="U170" i="2"/>
  <c r="U154" i="2"/>
  <c r="U138" i="2"/>
  <c r="U122" i="2"/>
  <c r="U106" i="2"/>
  <c r="U90" i="2"/>
  <c r="U74" i="2"/>
  <c r="U58" i="2"/>
  <c r="U42" i="2"/>
  <c r="U26" i="2"/>
  <c r="U10" i="2"/>
  <c r="U991" i="2"/>
  <c r="U971" i="2"/>
  <c r="U951" i="2"/>
  <c r="U931" i="2"/>
  <c r="U911" i="2"/>
  <c r="U891" i="2"/>
  <c r="U872" i="2"/>
  <c r="U854" i="2"/>
  <c r="U836" i="2"/>
  <c r="U818" i="2"/>
  <c r="U800" i="2"/>
  <c r="U781" i="2"/>
  <c r="U762" i="2"/>
  <c r="U744" i="2"/>
  <c r="U727" i="2"/>
  <c r="U710" i="2"/>
  <c r="U693" i="2"/>
  <c r="U676" i="2"/>
  <c r="U659" i="2"/>
  <c r="U642" i="2"/>
  <c r="U625" i="2"/>
  <c r="U608" i="2"/>
  <c r="U591" i="2"/>
  <c r="U573" i="2"/>
  <c r="U556" i="2"/>
  <c r="U539" i="2"/>
  <c r="U522" i="2"/>
  <c r="U505" i="2"/>
  <c r="U488" i="2"/>
  <c r="U471" i="2"/>
  <c r="U454" i="2"/>
  <c r="U437" i="2"/>
  <c r="U420" i="2"/>
  <c r="U403" i="2"/>
  <c r="U386" i="2"/>
  <c r="U369" i="2"/>
  <c r="U352" i="2"/>
  <c r="U335" i="2"/>
  <c r="U317" i="2"/>
  <c r="U300" i="2"/>
  <c r="U283" i="2"/>
  <c r="U266" i="2"/>
  <c r="U249" i="2"/>
  <c r="U233" i="2"/>
  <c r="U217" i="2"/>
  <c r="U201" i="2"/>
  <c r="U185" i="2"/>
  <c r="U169" i="2"/>
  <c r="U153" i="2"/>
  <c r="U137" i="2"/>
  <c r="U121" i="2"/>
  <c r="U990" i="2"/>
  <c r="U970" i="2"/>
  <c r="U950" i="2"/>
  <c r="U930" i="2"/>
  <c r="U909" i="2"/>
  <c r="U890" i="2"/>
  <c r="U871" i="2"/>
  <c r="U853" i="2"/>
  <c r="U835" i="2"/>
  <c r="U817" i="2"/>
  <c r="U799" i="2"/>
  <c r="U779" i="2"/>
  <c r="U761" i="2"/>
  <c r="U743" i="2"/>
  <c r="U726" i="2"/>
  <c r="U709" i="2"/>
  <c r="U692" i="2"/>
  <c r="U675" i="2"/>
  <c r="U658" i="2"/>
  <c r="U641" i="2"/>
  <c r="U624" i="2"/>
  <c r="U607" i="2"/>
  <c r="U589" i="2"/>
  <c r="U572" i="2"/>
  <c r="U555" i="2"/>
  <c r="U538" i="2"/>
  <c r="U521" i="2"/>
  <c r="U504" i="2"/>
  <c r="U487" i="2"/>
  <c r="U470" i="2"/>
  <c r="U453" i="2"/>
  <c r="U436" i="2"/>
  <c r="U419" i="2"/>
  <c r="U402" i="2"/>
  <c r="U385" i="2"/>
  <c r="U368" i="2"/>
  <c r="U351" i="2"/>
  <c r="U333" i="2"/>
  <c r="U316" i="2"/>
  <c r="U299" i="2"/>
  <c r="U282" i="2"/>
  <c r="U265" i="2"/>
  <c r="U248" i="2"/>
  <c r="U232" i="2"/>
  <c r="U989" i="2"/>
  <c r="U969" i="2"/>
  <c r="U949" i="2"/>
  <c r="U928" i="2"/>
  <c r="U908" i="2"/>
  <c r="U889" i="2"/>
  <c r="U870" i="2"/>
  <c r="U852" i="2"/>
  <c r="U834" i="2"/>
  <c r="U816" i="2"/>
  <c r="U797" i="2"/>
  <c r="U778" i="2"/>
  <c r="U760" i="2"/>
  <c r="U742" i="2"/>
  <c r="U725" i="2"/>
  <c r="U708" i="2"/>
  <c r="U691" i="2"/>
  <c r="U674" i="2"/>
  <c r="U657" i="2"/>
  <c r="U640" i="2"/>
  <c r="U623" i="2"/>
  <c r="U605" i="2"/>
  <c r="U988" i="2"/>
  <c r="U968" i="2"/>
  <c r="U947" i="2"/>
  <c r="U926" i="2"/>
  <c r="U907" i="2"/>
  <c r="U888" i="2"/>
  <c r="U869" i="2"/>
  <c r="U851" i="2"/>
  <c r="U833" i="2"/>
  <c r="U815" i="2"/>
  <c r="U795" i="2"/>
  <c r="U777" i="2"/>
  <c r="U759" i="2"/>
  <c r="U741" i="2"/>
  <c r="U724" i="2"/>
  <c r="U707" i="2"/>
  <c r="U690" i="2"/>
  <c r="U673" i="2"/>
  <c r="U656" i="2"/>
  <c r="U639" i="2"/>
  <c r="U621" i="2"/>
  <c r="U604" i="2"/>
  <c r="U587" i="2"/>
  <c r="U570" i="2"/>
  <c r="U553" i="2"/>
  <c r="U536" i="2"/>
  <c r="U519" i="2"/>
  <c r="U502" i="2"/>
  <c r="U485" i="2"/>
  <c r="U468" i="2"/>
  <c r="U451" i="2"/>
  <c r="U434" i="2"/>
  <c r="U417" i="2"/>
  <c r="U400" i="2"/>
  <c r="U383" i="2"/>
  <c r="U959" i="2"/>
  <c r="U923" i="2"/>
  <c r="U887" i="2"/>
  <c r="U859" i="2"/>
  <c r="U825" i="2"/>
  <c r="U791" i="2"/>
  <c r="U757" i="2"/>
  <c r="U731" i="2"/>
  <c r="U699" i="2"/>
  <c r="U667" i="2"/>
  <c r="U635" i="2"/>
  <c r="U603" i="2"/>
  <c r="U580" i="2"/>
  <c r="U550" i="2"/>
  <c r="U527" i="2"/>
  <c r="U497" i="2"/>
  <c r="U467" i="2"/>
  <c r="U443" i="2"/>
  <c r="U413" i="2"/>
  <c r="U390" i="2"/>
  <c r="U361" i="2"/>
  <c r="U339" i="2"/>
  <c r="U311" i="2"/>
  <c r="U289" i="2"/>
  <c r="U261" i="2"/>
  <c r="U239" i="2"/>
  <c r="U214" i="2"/>
  <c r="U194" i="2"/>
  <c r="U174" i="2"/>
  <c r="U150" i="2"/>
  <c r="U130" i="2"/>
  <c r="U110" i="2"/>
  <c r="U88" i="2"/>
  <c r="U69" i="2"/>
  <c r="U50" i="2"/>
  <c r="U31" i="2"/>
  <c r="U9" i="2"/>
  <c r="U1000" i="2"/>
  <c r="U958" i="2"/>
  <c r="U922" i="2"/>
  <c r="U886" i="2"/>
  <c r="U858" i="2"/>
  <c r="U824" i="2"/>
  <c r="U790" i="2"/>
  <c r="U756" i="2"/>
  <c r="U723" i="2"/>
  <c r="U698" i="2"/>
  <c r="U666" i="2"/>
  <c r="U634" i="2"/>
  <c r="U602" i="2"/>
  <c r="U579" i="2"/>
  <c r="U549" i="2"/>
  <c r="U520" i="2"/>
  <c r="U496" i="2"/>
  <c r="U466" i="2"/>
  <c r="U442" i="2"/>
  <c r="U412" i="2"/>
  <c r="U384" i="2"/>
  <c r="U360" i="2"/>
  <c r="U332" i="2"/>
  <c r="U310" i="2"/>
  <c r="U288" i="2"/>
  <c r="U260" i="2"/>
  <c r="U238" i="2"/>
  <c r="U213" i="2"/>
  <c r="U193" i="2"/>
  <c r="U173" i="2"/>
  <c r="U149" i="2"/>
  <c r="U129" i="2"/>
  <c r="U109" i="2"/>
  <c r="U87" i="2"/>
  <c r="U68" i="2"/>
  <c r="U49" i="2"/>
  <c r="U30" i="2"/>
  <c r="U8" i="2"/>
  <c r="U999" i="2"/>
  <c r="U957" i="2"/>
  <c r="U921" i="2"/>
  <c r="U885" i="2"/>
  <c r="U850" i="2"/>
  <c r="U823" i="2"/>
  <c r="U789" i="2"/>
  <c r="U755" i="2"/>
  <c r="U722" i="2"/>
  <c r="U697" i="2"/>
  <c r="U665" i="2"/>
  <c r="U633" i="2"/>
  <c r="U601" i="2"/>
  <c r="U578" i="2"/>
  <c r="U548" i="2"/>
  <c r="U518" i="2"/>
  <c r="U495" i="2"/>
  <c r="U465" i="2"/>
  <c r="U441" i="2"/>
  <c r="U411" i="2"/>
  <c r="U381" i="2"/>
  <c r="U359" i="2"/>
  <c r="U331" i="2"/>
  <c r="U309" i="2"/>
  <c r="U281" i="2"/>
  <c r="U259" i="2"/>
  <c r="U237" i="2"/>
  <c r="U212" i="2"/>
  <c r="U192" i="2"/>
  <c r="U168" i="2"/>
  <c r="U148" i="2"/>
  <c r="U128" i="2"/>
  <c r="U105" i="2"/>
  <c r="U86" i="2"/>
  <c r="U67" i="2"/>
  <c r="U48" i="2"/>
  <c r="U29" i="2"/>
  <c r="U7" i="2"/>
  <c r="U987" i="2"/>
  <c r="U956" i="2"/>
  <c r="U920" i="2"/>
  <c r="U883" i="2"/>
  <c r="U849" i="2"/>
  <c r="U822" i="2"/>
  <c r="U788" i="2"/>
  <c r="U754" i="2"/>
  <c r="U721" i="2"/>
  <c r="U689" i="2"/>
  <c r="U664" i="2"/>
  <c r="U632" i="2"/>
  <c r="U600" i="2"/>
  <c r="U571" i="2"/>
  <c r="U547" i="2"/>
  <c r="U517" i="2"/>
  <c r="U493" i="2"/>
  <c r="U464" i="2"/>
  <c r="U435" i="2"/>
  <c r="U410" i="2"/>
  <c r="U380" i="2"/>
  <c r="U358" i="2"/>
  <c r="U330" i="2"/>
  <c r="U308" i="2"/>
  <c r="U280" i="2"/>
  <c r="U258" i="2"/>
  <c r="U231" i="2"/>
  <c r="U211" i="2"/>
  <c r="U191" i="2"/>
  <c r="U167" i="2"/>
  <c r="U147" i="2"/>
  <c r="U127" i="2"/>
  <c r="U104" i="2"/>
  <c r="U85" i="2"/>
  <c r="U66" i="2"/>
  <c r="U47" i="2"/>
  <c r="U25" i="2"/>
  <c r="U6" i="2"/>
  <c r="U986" i="2"/>
  <c r="U955" i="2"/>
  <c r="U919" i="2"/>
  <c r="U882" i="2"/>
  <c r="U848" i="2"/>
  <c r="U813" i="2"/>
  <c r="U787" i="2"/>
  <c r="U753" i="2"/>
  <c r="U720" i="2"/>
  <c r="U688" i="2"/>
  <c r="U663" i="2"/>
  <c r="U631" i="2"/>
  <c r="U599" i="2"/>
  <c r="U569" i="2"/>
  <c r="U546" i="2"/>
  <c r="U516" i="2"/>
  <c r="U492" i="2"/>
  <c r="U463" i="2"/>
  <c r="U433" i="2"/>
  <c r="U409" i="2"/>
  <c r="U379" i="2"/>
  <c r="U357" i="2"/>
  <c r="U329" i="2"/>
  <c r="U307" i="2"/>
  <c r="U279" i="2"/>
  <c r="U257" i="2"/>
  <c r="U230" i="2"/>
  <c r="U210" i="2"/>
  <c r="U190" i="2"/>
  <c r="U166" i="2"/>
  <c r="U146" i="2"/>
  <c r="U126" i="2"/>
  <c r="U103" i="2"/>
  <c r="U84" i="2"/>
  <c r="U65" i="2"/>
  <c r="U46" i="2"/>
  <c r="U24" i="2"/>
  <c r="U5" i="2"/>
  <c r="U985" i="2"/>
  <c r="U945" i="2"/>
  <c r="U918" i="2"/>
  <c r="U881" i="2"/>
  <c r="U847" i="2"/>
  <c r="U811" i="2"/>
  <c r="U786" i="2"/>
  <c r="U752" i="2"/>
  <c r="U719" i="2"/>
  <c r="U687" i="2"/>
  <c r="U655" i="2"/>
  <c r="U630" i="2"/>
  <c r="U598" i="2"/>
  <c r="U568" i="2"/>
  <c r="U545" i="2"/>
  <c r="U515" i="2"/>
  <c r="U486" i="2"/>
  <c r="U461" i="2"/>
  <c r="U432" i="2"/>
  <c r="U408" i="2"/>
  <c r="U378" i="2"/>
  <c r="U356" i="2"/>
  <c r="U328" i="2"/>
  <c r="U306" i="2"/>
  <c r="U278" i="2"/>
  <c r="U256" i="2"/>
  <c r="U229" i="2"/>
  <c r="U209" i="2"/>
  <c r="U189" i="2"/>
  <c r="U165" i="2"/>
  <c r="U145" i="2"/>
  <c r="U125" i="2"/>
  <c r="U102" i="2"/>
  <c r="U83" i="2"/>
  <c r="U64" i="2"/>
  <c r="U45" i="2"/>
  <c r="U23" i="2"/>
  <c r="U4" i="2"/>
  <c r="U984" i="2"/>
  <c r="U943" i="2"/>
  <c r="U917" i="2"/>
  <c r="U880" i="2"/>
  <c r="U845" i="2"/>
  <c r="U810" i="2"/>
  <c r="U776" i="2"/>
  <c r="U751" i="2"/>
  <c r="U717" i="2"/>
  <c r="U685" i="2"/>
  <c r="U653" i="2"/>
  <c r="U629" i="2"/>
  <c r="U597" i="2"/>
  <c r="U567" i="2"/>
  <c r="U544" i="2"/>
  <c r="U514" i="2"/>
  <c r="U484" i="2"/>
  <c r="U460" i="2"/>
  <c r="U431" i="2"/>
  <c r="U407" i="2"/>
  <c r="U377" i="2"/>
  <c r="U349" i="2"/>
  <c r="U327" i="2"/>
  <c r="U305" i="2"/>
  <c r="U277" i="2"/>
  <c r="U255" i="2"/>
  <c r="U228" i="2"/>
  <c r="U208" i="2"/>
  <c r="U184" i="2"/>
  <c r="U164" i="2"/>
  <c r="U144" i="2"/>
  <c r="U120" i="2"/>
  <c r="U101" i="2"/>
  <c r="U82" i="2"/>
  <c r="U63" i="2"/>
  <c r="U41" i="2"/>
  <c r="U22" i="2"/>
  <c r="U3" i="2"/>
  <c r="U983" i="2"/>
  <c r="U942" i="2"/>
  <c r="U906" i="2"/>
  <c r="U879" i="2"/>
  <c r="U843" i="2"/>
  <c r="U809" i="2"/>
  <c r="U775" i="2"/>
  <c r="U749" i="2"/>
  <c r="U716" i="2"/>
  <c r="U684" i="2"/>
  <c r="U652" i="2"/>
  <c r="U620" i="2"/>
  <c r="U596" i="2"/>
  <c r="U566" i="2"/>
  <c r="U537" i="2"/>
  <c r="U513" i="2"/>
  <c r="U483" i="2"/>
  <c r="U459" i="2"/>
  <c r="U429" i="2"/>
  <c r="U401" i="2"/>
  <c r="U376" i="2"/>
  <c r="U348" i="2"/>
  <c r="U326" i="2"/>
  <c r="U298" i="2"/>
  <c r="U276" i="2"/>
  <c r="U253" i="2"/>
  <c r="U227" i="2"/>
  <c r="U207" i="2"/>
  <c r="U183" i="2"/>
  <c r="U163" i="2"/>
  <c r="U143" i="2"/>
  <c r="U119" i="2"/>
  <c r="U100" i="2"/>
  <c r="U81" i="2"/>
  <c r="U62" i="2"/>
  <c r="U40" i="2"/>
  <c r="U21" i="2"/>
  <c r="U977" i="2"/>
  <c r="U940" i="2"/>
  <c r="U904" i="2"/>
  <c r="U936" i="2"/>
  <c r="U863" i="2"/>
  <c r="U793" i="2"/>
  <c r="U733" i="2"/>
  <c r="U669" i="2"/>
  <c r="U613" i="2"/>
  <c r="U552" i="2"/>
  <c r="U499" i="2"/>
  <c r="U445" i="2"/>
  <c r="U392" i="2"/>
  <c r="U341" i="2"/>
  <c r="U291" i="2"/>
  <c r="U241" i="2"/>
  <c r="U196" i="2"/>
  <c r="U152" i="2"/>
  <c r="U112" i="2"/>
  <c r="U71" i="2"/>
  <c r="U33" i="2"/>
  <c r="U79" i="2"/>
  <c r="U345" i="2"/>
  <c r="U73" i="2"/>
  <c r="U925" i="2"/>
  <c r="U861" i="2"/>
  <c r="U792" i="2"/>
  <c r="U732" i="2"/>
  <c r="U668" i="2"/>
  <c r="U612" i="2"/>
  <c r="U551" i="2"/>
  <c r="U498" i="2"/>
  <c r="U444" i="2"/>
  <c r="U391" i="2"/>
  <c r="U340" i="2"/>
  <c r="U290" i="2"/>
  <c r="U240" i="2"/>
  <c r="U195" i="2"/>
  <c r="U151" i="2"/>
  <c r="U111" i="2"/>
  <c r="U70" i="2"/>
  <c r="U32" i="2"/>
  <c r="U246" i="2"/>
  <c r="U681" i="2"/>
  <c r="U924" i="2"/>
  <c r="U842" i="2"/>
  <c r="U774" i="2"/>
  <c r="U715" i="2"/>
  <c r="U651" i="2"/>
  <c r="U595" i="2"/>
  <c r="U535" i="2"/>
  <c r="U482" i="2"/>
  <c r="U428" i="2"/>
  <c r="U375" i="2"/>
  <c r="U325" i="2"/>
  <c r="U275" i="2"/>
  <c r="U226" i="2"/>
  <c r="U182" i="2"/>
  <c r="U142" i="2"/>
  <c r="U99" i="2"/>
  <c r="U61" i="2"/>
  <c r="U20" i="2"/>
  <c r="U116" i="2"/>
  <c r="U736" i="2"/>
  <c r="U905" i="2"/>
  <c r="U841" i="2"/>
  <c r="U773" i="2"/>
  <c r="U714" i="2"/>
  <c r="U650" i="2"/>
  <c r="U588" i="2"/>
  <c r="U534" i="2"/>
  <c r="U481" i="2"/>
  <c r="U427" i="2"/>
  <c r="U374" i="2"/>
  <c r="U324" i="2"/>
  <c r="U274" i="2"/>
  <c r="U225" i="2"/>
  <c r="U181" i="2"/>
  <c r="U141" i="2"/>
  <c r="U98" i="2"/>
  <c r="U57" i="2"/>
  <c r="U19" i="2"/>
  <c r="U903" i="2"/>
  <c r="U840" i="2"/>
  <c r="U772" i="2"/>
  <c r="U706" i="2"/>
  <c r="U649" i="2"/>
  <c r="U586" i="2"/>
  <c r="U533" i="2"/>
  <c r="U480" i="2"/>
  <c r="U426" i="2"/>
  <c r="U373" i="2"/>
  <c r="U323" i="2"/>
  <c r="U273" i="2"/>
  <c r="U224" i="2"/>
  <c r="U180" i="2"/>
  <c r="U136" i="2"/>
  <c r="U97" i="2"/>
  <c r="U56" i="2"/>
  <c r="U18" i="2"/>
  <c r="U807" i="2"/>
  <c r="U161" i="2"/>
  <c r="U982" i="2"/>
  <c r="U902" i="2"/>
  <c r="U832" i="2"/>
  <c r="U771" i="2"/>
  <c r="U705" i="2"/>
  <c r="U648" i="2"/>
  <c r="U585" i="2"/>
  <c r="U532" i="2"/>
  <c r="U479" i="2"/>
  <c r="U425" i="2"/>
  <c r="U367" i="2"/>
  <c r="U322" i="2"/>
  <c r="U272" i="2"/>
  <c r="U223" i="2"/>
  <c r="U179" i="2"/>
  <c r="U135" i="2"/>
  <c r="U96" i="2"/>
  <c r="U55" i="2"/>
  <c r="U17" i="2"/>
  <c r="U397" i="2"/>
  <c r="U867" i="2"/>
  <c r="U509" i="2"/>
  <c r="U295" i="2"/>
  <c r="U160" i="2"/>
  <c r="U78" i="2"/>
  <c r="U672" i="2"/>
  <c r="U448" i="2"/>
  <c r="U243" i="2"/>
  <c r="U35" i="2"/>
  <c r="U976" i="2"/>
  <c r="U901" i="2"/>
  <c r="U831" i="2"/>
  <c r="U770" i="2"/>
  <c r="U704" i="2"/>
  <c r="U647" i="2"/>
  <c r="U584" i="2"/>
  <c r="U531" i="2"/>
  <c r="U477" i="2"/>
  <c r="U424" i="2"/>
  <c r="U365" i="2"/>
  <c r="U315" i="2"/>
  <c r="U271" i="2"/>
  <c r="U222" i="2"/>
  <c r="U178" i="2"/>
  <c r="U134" i="2"/>
  <c r="U95" i="2"/>
  <c r="U54" i="2"/>
  <c r="U16" i="2"/>
  <c r="U682" i="2"/>
  <c r="U975" i="2"/>
  <c r="U899" i="2"/>
  <c r="U829" i="2"/>
  <c r="U769" i="2"/>
  <c r="U703" i="2"/>
  <c r="U646" i="2"/>
  <c r="U583" i="2"/>
  <c r="U530" i="2"/>
  <c r="U476" i="2"/>
  <c r="U418" i="2"/>
  <c r="U364" i="2"/>
  <c r="U314" i="2"/>
  <c r="U264" i="2"/>
  <c r="U221" i="2"/>
  <c r="U177" i="2"/>
  <c r="U133" i="2"/>
  <c r="U94" i="2"/>
  <c r="U53" i="2"/>
  <c r="U15" i="2"/>
  <c r="U93" i="2"/>
  <c r="U967" i="2"/>
  <c r="U898" i="2"/>
  <c r="U827" i="2"/>
  <c r="U768" i="2"/>
  <c r="U701" i="2"/>
  <c r="U637" i="2"/>
  <c r="U582" i="2"/>
  <c r="U529" i="2"/>
  <c r="U475" i="2"/>
  <c r="U416" i="2"/>
  <c r="U363" i="2"/>
  <c r="U313" i="2"/>
  <c r="U263" i="2"/>
  <c r="U216" i="2"/>
  <c r="U176" i="2"/>
  <c r="U132" i="2"/>
  <c r="U52" i="2"/>
  <c r="U14" i="2"/>
  <c r="U452" i="2"/>
  <c r="U617" i="2"/>
  <c r="U200" i="2"/>
  <c r="U615" i="2"/>
  <c r="U501" i="2"/>
  <c r="U394" i="2"/>
  <c r="U198" i="2"/>
  <c r="U966" i="2"/>
  <c r="U897" i="2"/>
  <c r="U826" i="2"/>
  <c r="U758" i="2"/>
  <c r="U700" i="2"/>
  <c r="U636" i="2"/>
  <c r="U581" i="2"/>
  <c r="U528" i="2"/>
  <c r="U469" i="2"/>
  <c r="U415" i="2"/>
  <c r="U362" i="2"/>
  <c r="U312" i="2"/>
  <c r="U262" i="2"/>
  <c r="U215" i="2"/>
  <c r="U175" i="2"/>
  <c r="U131" i="2"/>
  <c r="U89" i="2"/>
  <c r="U51" i="2"/>
  <c r="U13" i="2"/>
  <c r="U296" i="2"/>
  <c r="U396" i="2"/>
  <c r="U938" i="2"/>
  <c r="U965" i="2"/>
  <c r="U877" i="2"/>
  <c r="U808" i="2"/>
  <c r="U740" i="2"/>
  <c r="U683" i="2"/>
  <c r="U619" i="2"/>
  <c r="U565" i="2"/>
  <c r="U512" i="2"/>
  <c r="U458" i="2"/>
  <c r="U399" i="2"/>
  <c r="U347" i="2"/>
  <c r="U297" i="2"/>
  <c r="U247" i="2"/>
  <c r="U206" i="2"/>
  <c r="U162" i="2"/>
  <c r="U118" i="2"/>
  <c r="U80" i="2"/>
  <c r="U39" i="2"/>
  <c r="U2" i="2"/>
  <c r="U564" i="2"/>
  <c r="U450" i="2"/>
  <c r="U114" i="2"/>
  <c r="U960" i="2"/>
  <c r="U868" i="2"/>
  <c r="U739" i="2"/>
  <c r="U618" i="2"/>
  <c r="U511" i="2"/>
  <c r="U346" i="2"/>
  <c r="U205" i="2"/>
  <c r="U117" i="2"/>
  <c r="U38" i="2"/>
  <c r="U738" i="2"/>
  <c r="U561" i="2"/>
  <c r="U941" i="2"/>
  <c r="U806" i="2"/>
  <c r="U563" i="2"/>
  <c r="U245" i="2"/>
  <c r="U37" i="2"/>
  <c r="U939" i="2"/>
  <c r="U866" i="2"/>
  <c r="U805" i="2"/>
  <c r="U737" i="2"/>
  <c r="U680" i="2"/>
  <c r="U616" i="2"/>
  <c r="U562" i="2"/>
  <c r="U503" i="2"/>
  <c r="U449" i="2"/>
  <c r="U395" i="2"/>
  <c r="U344" i="2"/>
  <c r="U294" i="2"/>
  <c r="U244" i="2"/>
  <c r="U199" i="2"/>
  <c r="U159" i="2"/>
  <c r="U115" i="2"/>
  <c r="U77" i="2"/>
  <c r="U36" i="2"/>
  <c r="U865" i="2"/>
  <c r="U343" i="2"/>
  <c r="U804" i="2"/>
  <c r="U158" i="2"/>
  <c r="U937" i="2"/>
  <c r="U864" i="2"/>
  <c r="U794" i="2"/>
  <c r="U735" i="2"/>
  <c r="U671" i="2"/>
  <c r="U614" i="2"/>
  <c r="U554" i="2"/>
  <c r="U500" i="2"/>
  <c r="U447" i="2"/>
  <c r="U393" i="2"/>
  <c r="U342" i="2"/>
  <c r="U292" i="2"/>
  <c r="U242" i="2"/>
  <c r="U197" i="2"/>
  <c r="U157" i="2"/>
  <c r="U113" i="2"/>
  <c r="U72" i="2"/>
  <c r="U34" i="2"/>
  <c r="U293" i="2"/>
  <c r="V993" i="2"/>
  <c r="V977" i="2"/>
  <c r="V961" i="2"/>
  <c r="V945" i="2"/>
  <c r="V929" i="2"/>
  <c r="V913" i="2"/>
  <c r="V897" i="2"/>
  <c r="V881" i="2"/>
  <c r="V865" i="2"/>
  <c r="V849" i="2"/>
  <c r="V833" i="2"/>
  <c r="V817" i="2"/>
  <c r="V801" i="2"/>
  <c r="V785" i="2"/>
  <c r="V769" i="2"/>
  <c r="V753" i="2"/>
  <c r="V737" i="2"/>
  <c r="V721" i="2"/>
  <c r="V705" i="2"/>
  <c r="V689" i="2"/>
  <c r="V673" i="2"/>
  <c r="V657" i="2"/>
  <c r="V641" i="2"/>
  <c r="V625" i="2"/>
  <c r="V609" i="2"/>
  <c r="V593" i="2"/>
  <c r="V577" i="2"/>
  <c r="V561" i="2"/>
  <c r="V545" i="2"/>
  <c r="V529" i="2"/>
  <c r="V513" i="2"/>
  <c r="V497" i="2"/>
  <c r="V481" i="2"/>
  <c r="V465" i="2"/>
  <c r="V449" i="2"/>
  <c r="V433" i="2"/>
  <c r="V417" i="2"/>
  <c r="V401" i="2"/>
  <c r="V385" i="2"/>
  <c r="V369" i="2"/>
  <c r="V353" i="2"/>
  <c r="V337" i="2"/>
  <c r="V321" i="2"/>
  <c r="V305" i="2"/>
  <c r="V1000" i="2"/>
  <c r="V983" i="2"/>
  <c r="V966" i="2"/>
  <c r="V949" i="2"/>
  <c r="V932" i="2"/>
  <c r="V915" i="2"/>
  <c r="V898" i="2"/>
  <c r="V880" i="2"/>
  <c r="V990" i="2"/>
  <c r="V972" i="2"/>
  <c r="V954" i="2"/>
  <c r="V936" i="2"/>
  <c r="V918" i="2"/>
  <c r="V900" i="2"/>
  <c r="V882" i="2"/>
  <c r="V863" i="2"/>
  <c r="V846" i="2"/>
  <c r="V829" i="2"/>
  <c r="V812" i="2"/>
  <c r="V795" i="2"/>
  <c r="V778" i="2"/>
  <c r="V761" i="2"/>
  <c r="V744" i="2"/>
  <c r="V727" i="2"/>
  <c r="V710" i="2"/>
  <c r="V693" i="2"/>
  <c r="V676" i="2"/>
  <c r="V659" i="2"/>
  <c r="V642" i="2"/>
  <c r="V624" i="2"/>
  <c r="V607" i="2"/>
  <c r="V590" i="2"/>
  <c r="V573" i="2"/>
  <c r="V556" i="2"/>
  <c r="V539" i="2"/>
  <c r="V522" i="2"/>
  <c r="V505" i="2"/>
  <c r="V488" i="2"/>
  <c r="V471" i="2"/>
  <c r="V454" i="2"/>
  <c r="V437" i="2"/>
  <c r="V420" i="2"/>
  <c r="V403" i="2"/>
  <c r="V386" i="2"/>
  <c r="V368" i="2"/>
  <c r="V351" i="2"/>
  <c r="V334" i="2"/>
  <c r="V317" i="2"/>
  <c r="V300" i="2"/>
  <c r="V284" i="2"/>
  <c r="V268" i="2"/>
  <c r="V252" i="2"/>
  <c r="V236" i="2"/>
  <c r="V220" i="2"/>
  <c r="V204" i="2"/>
  <c r="V188" i="2"/>
  <c r="V172" i="2"/>
  <c r="V156" i="2"/>
  <c r="V140" i="2"/>
  <c r="V124" i="2"/>
  <c r="V108" i="2"/>
  <c r="V92" i="2"/>
  <c r="V76" i="2"/>
  <c r="V60" i="2"/>
  <c r="V44" i="2"/>
  <c r="V28" i="2"/>
  <c r="V12" i="2"/>
  <c r="V989" i="2"/>
  <c r="V971" i="2"/>
  <c r="V953" i="2"/>
  <c r="V935" i="2"/>
  <c r="V917" i="2"/>
  <c r="V899" i="2"/>
  <c r="V879" i="2"/>
  <c r="V862" i="2"/>
  <c r="V845" i="2"/>
  <c r="V828" i="2"/>
  <c r="V811" i="2"/>
  <c r="V794" i="2"/>
  <c r="V777" i="2"/>
  <c r="V760" i="2"/>
  <c r="V743" i="2"/>
  <c r="V726" i="2"/>
  <c r="V709" i="2"/>
  <c r="V692" i="2"/>
  <c r="V675" i="2"/>
  <c r="V658" i="2"/>
  <c r="V640" i="2"/>
  <c r="V623" i="2"/>
  <c r="V987" i="2"/>
  <c r="V969" i="2"/>
  <c r="V951" i="2"/>
  <c r="V933" i="2"/>
  <c r="V914" i="2"/>
  <c r="V895" i="2"/>
  <c r="V877" i="2"/>
  <c r="V860" i="2"/>
  <c r="V843" i="2"/>
  <c r="V826" i="2"/>
  <c r="V809" i="2"/>
  <c r="V792" i="2"/>
  <c r="V775" i="2"/>
  <c r="V758" i="2"/>
  <c r="V741" i="2"/>
  <c r="V724" i="2"/>
  <c r="V707" i="2"/>
  <c r="V690" i="2"/>
  <c r="V672" i="2"/>
  <c r="V655" i="2"/>
  <c r="V638" i="2"/>
  <c r="V621" i="2"/>
  <c r="V984" i="2"/>
  <c r="V965" i="2"/>
  <c r="V980" i="2"/>
  <c r="V957" i="2"/>
  <c r="V934" i="2"/>
  <c r="V910" i="2"/>
  <c r="V889" i="2"/>
  <c r="V868" i="2"/>
  <c r="V847" i="2"/>
  <c r="V824" i="2"/>
  <c r="V804" i="2"/>
  <c r="V783" i="2"/>
  <c r="V763" i="2"/>
  <c r="V740" i="2"/>
  <c r="V719" i="2"/>
  <c r="V699" i="2"/>
  <c r="V679" i="2"/>
  <c r="V656" i="2"/>
  <c r="V635" i="2"/>
  <c r="V615" i="2"/>
  <c r="V597" i="2"/>
  <c r="V579" i="2"/>
  <c r="V560" i="2"/>
  <c r="V542" i="2"/>
  <c r="V524" i="2"/>
  <c r="V506" i="2"/>
  <c r="V487" i="2"/>
  <c r="V469" i="2"/>
  <c r="V451" i="2"/>
  <c r="V432" i="2"/>
  <c r="V414" i="2"/>
  <c r="V396" i="2"/>
  <c r="V378" i="2"/>
  <c r="V360" i="2"/>
  <c r="V342" i="2"/>
  <c r="V324" i="2"/>
  <c r="V306" i="2"/>
  <c r="V288" i="2"/>
  <c r="V271" i="2"/>
  <c r="V254" i="2"/>
  <c r="V237" i="2"/>
  <c r="V219" i="2"/>
  <c r="V202" i="2"/>
  <c r="V185" i="2"/>
  <c r="V168" i="2"/>
  <c r="V151" i="2"/>
  <c r="V134" i="2"/>
  <c r="V117" i="2"/>
  <c r="V100" i="2"/>
  <c r="V83" i="2"/>
  <c r="V66" i="2"/>
  <c r="V49" i="2"/>
  <c r="V32" i="2"/>
  <c r="V15" i="2"/>
  <c r="V979" i="2"/>
  <c r="V956" i="2"/>
  <c r="V931" i="2"/>
  <c r="V909" i="2"/>
  <c r="V888" i="2"/>
  <c r="V867" i="2"/>
  <c r="V844" i="2"/>
  <c r="V823" i="2"/>
  <c r="V803" i="2"/>
  <c r="V782" i="2"/>
  <c r="V762" i="2"/>
  <c r="V739" i="2"/>
  <c r="V718" i="2"/>
  <c r="V698" i="2"/>
  <c r="V678" i="2"/>
  <c r="V654" i="2"/>
  <c r="V634" i="2"/>
  <c r="V614" i="2"/>
  <c r="V596" i="2"/>
  <c r="V578" i="2"/>
  <c r="V559" i="2"/>
  <c r="V541" i="2"/>
  <c r="V523" i="2"/>
  <c r="V504" i="2"/>
  <c r="V486" i="2"/>
  <c r="V468" i="2"/>
  <c r="V450" i="2"/>
  <c r="V431" i="2"/>
  <c r="V413" i="2"/>
  <c r="V395" i="2"/>
  <c r="V377" i="2"/>
  <c r="V359" i="2"/>
  <c r="V341" i="2"/>
  <c r="V323" i="2"/>
  <c r="V304" i="2"/>
  <c r="V287" i="2"/>
  <c r="V270" i="2"/>
  <c r="V253" i="2"/>
  <c r="V235" i="2"/>
  <c r="V218" i="2"/>
  <c r="V201" i="2"/>
  <c r="V184" i="2"/>
  <c r="V167" i="2"/>
  <c r="V150" i="2"/>
  <c r="V133" i="2"/>
  <c r="V116" i="2"/>
  <c r="V99" i="2"/>
  <c r="V82" i="2"/>
  <c r="V65" i="2"/>
  <c r="V48" i="2"/>
  <c r="V31" i="2"/>
  <c r="V14" i="2"/>
  <c r="V978" i="2"/>
  <c r="V955" i="2"/>
  <c r="V930" i="2"/>
  <c r="V908" i="2"/>
  <c r="V887" i="2"/>
  <c r="V866" i="2"/>
  <c r="V842" i="2"/>
  <c r="V822" i="2"/>
  <c r="V802" i="2"/>
  <c r="V781" i="2"/>
  <c r="V759" i="2"/>
  <c r="V738" i="2"/>
  <c r="V717" i="2"/>
  <c r="V697" i="2"/>
  <c r="V677" i="2"/>
  <c r="V653" i="2"/>
  <c r="V633" i="2"/>
  <c r="V613" i="2"/>
  <c r="V595" i="2"/>
  <c r="V576" i="2"/>
  <c r="V558" i="2"/>
  <c r="V540" i="2"/>
  <c r="V521" i="2"/>
  <c r="V503" i="2"/>
  <c r="V485" i="2"/>
  <c r="V467" i="2"/>
  <c r="V448" i="2"/>
  <c r="V430" i="2"/>
  <c r="V412" i="2"/>
  <c r="V394" i="2"/>
  <c r="V376" i="2"/>
  <c r="V358" i="2"/>
  <c r="V340" i="2"/>
  <c r="V322" i="2"/>
  <c r="V303" i="2"/>
  <c r="V286" i="2"/>
  <c r="V269" i="2"/>
  <c r="V251" i="2"/>
  <c r="V234" i="2"/>
  <c r="V217" i="2"/>
  <c r="V200" i="2"/>
  <c r="V183" i="2"/>
  <c r="V166" i="2"/>
  <c r="V149" i="2"/>
  <c r="V132" i="2"/>
  <c r="V115" i="2"/>
  <c r="V98" i="2"/>
  <c r="V81" i="2"/>
  <c r="V64" i="2"/>
  <c r="V47" i="2"/>
  <c r="V30" i="2"/>
  <c r="V13" i="2"/>
  <c r="V999" i="2"/>
  <c r="V976" i="2"/>
  <c r="V952" i="2"/>
  <c r="V928" i="2"/>
  <c r="V907" i="2"/>
  <c r="V886" i="2"/>
  <c r="V864" i="2"/>
  <c r="V841" i="2"/>
  <c r="V821" i="2"/>
  <c r="V800" i="2"/>
  <c r="V780" i="2"/>
  <c r="V757" i="2"/>
  <c r="V736" i="2"/>
  <c r="V716" i="2"/>
  <c r="V696" i="2"/>
  <c r="V674" i="2"/>
  <c r="V652" i="2"/>
  <c r="V632" i="2"/>
  <c r="V612" i="2"/>
  <c r="V594" i="2"/>
  <c r="V575" i="2"/>
  <c r="V557" i="2"/>
  <c r="V538" i="2"/>
  <c r="V520" i="2"/>
  <c r="V502" i="2"/>
  <c r="V484" i="2"/>
  <c r="V466" i="2"/>
  <c r="V447" i="2"/>
  <c r="V429" i="2"/>
  <c r="V411" i="2"/>
  <c r="V393" i="2"/>
  <c r="V375" i="2"/>
  <c r="V357" i="2"/>
  <c r="V339" i="2"/>
  <c r="V320" i="2"/>
  <c r="V302" i="2"/>
  <c r="V285" i="2"/>
  <c r="V267" i="2"/>
  <c r="V250" i="2"/>
  <c r="V233" i="2"/>
  <c r="V216" i="2"/>
  <c r="V199" i="2"/>
  <c r="V182" i="2"/>
  <c r="V998" i="2"/>
  <c r="V975" i="2"/>
  <c r="V950" i="2"/>
  <c r="V927" i="2"/>
  <c r="V906" i="2"/>
  <c r="V885" i="2"/>
  <c r="V861" i="2"/>
  <c r="V840" i="2"/>
  <c r="V820" i="2"/>
  <c r="V799" i="2"/>
  <c r="V779" i="2"/>
  <c r="V756" i="2"/>
  <c r="V735" i="2"/>
  <c r="V715" i="2"/>
  <c r="V695" i="2"/>
  <c r="V671" i="2"/>
  <c r="V651" i="2"/>
  <c r="V631" i="2"/>
  <c r="V611" i="2"/>
  <c r="V592" i="2"/>
  <c r="V574" i="2"/>
  <c r="V555" i="2"/>
  <c r="V537" i="2"/>
  <c r="V519" i="2"/>
  <c r="V501" i="2"/>
  <c r="V483" i="2"/>
  <c r="V464" i="2"/>
  <c r="V446" i="2"/>
  <c r="V428" i="2"/>
  <c r="V410" i="2"/>
  <c r="V392" i="2"/>
  <c r="V374" i="2"/>
  <c r="V356" i="2"/>
  <c r="V338" i="2"/>
  <c r="V319" i="2"/>
  <c r="V301" i="2"/>
  <c r="V283" i="2"/>
  <c r="V266" i="2"/>
  <c r="V249" i="2"/>
  <c r="V232" i="2"/>
  <c r="V215" i="2"/>
  <c r="V198" i="2"/>
  <c r="V181" i="2"/>
  <c r="V996" i="2"/>
  <c r="V973" i="2"/>
  <c r="V947" i="2"/>
  <c r="V925" i="2"/>
  <c r="V904" i="2"/>
  <c r="V883" i="2"/>
  <c r="V858" i="2"/>
  <c r="V838" i="2"/>
  <c r="V818" i="2"/>
  <c r="V797" i="2"/>
  <c r="V774" i="2"/>
  <c r="V754" i="2"/>
  <c r="V733" i="2"/>
  <c r="V713" i="2"/>
  <c r="V691" i="2"/>
  <c r="V968" i="2"/>
  <c r="V938" i="2"/>
  <c r="V896" i="2"/>
  <c r="V859" i="2"/>
  <c r="V831" i="2"/>
  <c r="V793" i="2"/>
  <c r="V765" i="2"/>
  <c r="V729" i="2"/>
  <c r="V694" i="2"/>
  <c r="V664" i="2"/>
  <c r="V630" i="2"/>
  <c r="V603" i="2"/>
  <c r="V580" i="2"/>
  <c r="V550" i="2"/>
  <c r="V526" i="2"/>
  <c r="V496" i="2"/>
  <c r="V473" i="2"/>
  <c r="V443" i="2"/>
  <c r="V419" i="2"/>
  <c r="V390" i="2"/>
  <c r="V365" i="2"/>
  <c r="V336" i="2"/>
  <c r="V312" i="2"/>
  <c r="V289" i="2"/>
  <c r="V261" i="2"/>
  <c r="V239" i="2"/>
  <c r="V211" i="2"/>
  <c r="V189" i="2"/>
  <c r="V163" i="2"/>
  <c r="V143" i="2"/>
  <c r="V122" i="2"/>
  <c r="V102" i="2"/>
  <c r="V79" i="2"/>
  <c r="V58" i="2"/>
  <c r="V38" i="2"/>
  <c r="V18" i="2"/>
  <c r="V967" i="2"/>
  <c r="V937" i="2"/>
  <c r="V894" i="2"/>
  <c r="V857" i="2"/>
  <c r="V830" i="2"/>
  <c r="V791" i="2"/>
  <c r="V764" i="2"/>
  <c r="V728" i="2"/>
  <c r="V688" i="2"/>
  <c r="V663" i="2"/>
  <c r="V629" i="2"/>
  <c r="V602" i="2"/>
  <c r="V572" i="2"/>
  <c r="V549" i="2"/>
  <c r="V525" i="2"/>
  <c r="V495" i="2"/>
  <c r="V472" i="2"/>
  <c r="V442" i="2"/>
  <c r="V418" i="2"/>
  <c r="V389" i="2"/>
  <c r="V364" i="2"/>
  <c r="V335" i="2"/>
  <c r="V311" i="2"/>
  <c r="V282" i="2"/>
  <c r="V260" i="2"/>
  <c r="V238" i="2"/>
  <c r="V210" i="2"/>
  <c r="V187" i="2"/>
  <c r="V162" i="2"/>
  <c r="V142" i="2"/>
  <c r="V121" i="2"/>
  <c r="V101" i="2"/>
  <c r="V78" i="2"/>
  <c r="V57" i="2"/>
  <c r="V37" i="2"/>
  <c r="V17" i="2"/>
  <c r="V964" i="2"/>
  <c r="V926" i="2"/>
  <c r="V893" i="2"/>
  <c r="V856" i="2"/>
  <c r="V827" i="2"/>
  <c r="V790" i="2"/>
  <c r="V755" i="2"/>
  <c r="V725" i="2"/>
  <c r="V687" i="2"/>
  <c r="V662" i="2"/>
  <c r="V628" i="2"/>
  <c r="V601" i="2"/>
  <c r="V571" i="2"/>
  <c r="V548" i="2"/>
  <c r="V518" i="2"/>
  <c r="V494" i="2"/>
  <c r="V470" i="2"/>
  <c r="V441" i="2"/>
  <c r="V416" i="2"/>
  <c r="V388" i="2"/>
  <c r="V363" i="2"/>
  <c r="V333" i="2"/>
  <c r="V310" i="2"/>
  <c r="V281" i="2"/>
  <c r="V259" i="2"/>
  <c r="V231" i="2"/>
  <c r="V209" i="2"/>
  <c r="V186" i="2"/>
  <c r="V161" i="2"/>
  <c r="V141" i="2"/>
  <c r="V120" i="2"/>
  <c r="V97" i="2"/>
  <c r="V77" i="2"/>
  <c r="V56" i="2"/>
  <c r="V36" i="2"/>
  <c r="V16" i="2"/>
  <c r="V963" i="2"/>
  <c r="V924" i="2"/>
  <c r="V892" i="2"/>
  <c r="V855" i="2"/>
  <c r="V825" i="2"/>
  <c r="V789" i="2"/>
  <c r="V752" i="2"/>
  <c r="V723" i="2"/>
  <c r="V686" i="2"/>
  <c r="V661" i="2"/>
  <c r="V627" i="2"/>
  <c r="V600" i="2"/>
  <c r="V570" i="2"/>
  <c r="V547" i="2"/>
  <c r="V517" i="2"/>
  <c r="V493" i="2"/>
  <c r="V463" i="2"/>
  <c r="V440" i="2"/>
  <c r="V415" i="2"/>
  <c r="V387" i="2"/>
  <c r="V362" i="2"/>
  <c r="V332" i="2"/>
  <c r="V309" i="2"/>
  <c r="V280" i="2"/>
  <c r="V258" i="2"/>
  <c r="V230" i="2"/>
  <c r="V208" i="2"/>
  <c r="V180" i="2"/>
  <c r="V160" i="2"/>
  <c r="V139" i="2"/>
  <c r="V119" i="2"/>
  <c r="V96" i="2"/>
  <c r="V75" i="2"/>
  <c r="V55" i="2"/>
  <c r="V35" i="2"/>
  <c r="V11" i="2"/>
  <c r="V997" i="2"/>
  <c r="V962" i="2"/>
  <c r="V923" i="2"/>
  <c r="V891" i="2"/>
  <c r="V854" i="2"/>
  <c r="V819" i="2"/>
  <c r="V788" i="2"/>
  <c r="V751" i="2"/>
  <c r="V722" i="2"/>
  <c r="V685" i="2"/>
  <c r="V660" i="2"/>
  <c r="V626" i="2"/>
  <c r="V599" i="2"/>
  <c r="V569" i="2"/>
  <c r="V546" i="2"/>
  <c r="V516" i="2"/>
  <c r="V492" i="2"/>
  <c r="V462" i="2"/>
  <c r="V439" i="2"/>
  <c r="V409" i="2"/>
  <c r="V384" i="2"/>
  <c r="V361" i="2"/>
  <c r="V331" i="2"/>
  <c r="V308" i="2"/>
  <c r="V279" i="2"/>
  <c r="V257" i="2"/>
  <c r="V229" i="2"/>
  <c r="V207" i="2"/>
  <c r="V179" i="2"/>
  <c r="V159" i="2"/>
  <c r="V138" i="2"/>
  <c r="V118" i="2"/>
  <c r="V95" i="2"/>
  <c r="V74" i="2"/>
  <c r="V54" i="2"/>
  <c r="V34" i="2"/>
  <c r="V10" i="2"/>
  <c r="V995" i="2"/>
  <c r="V960" i="2"/>
  <c r="V922" i="2"/>
  <c r="V890" i="2"/>
  <c r="V853" i="2"/>
  <c r="V816" i="2"/>
  <c r="V787" i="2"/>
  <c r="V750" i="2"/>
  <c r="V720" i="2"/>
  <c r="V684" i="2"/>
  <c r="V650" i="2"/>
  <c r="V622" i="2"/>
  <c r="V598" i="2"/>
  <c r="V568" i="2"/>
  <c r="V544" i="2"/>
  <c r="V515" i="2"/>
  <c r="V491" i="2"/>
  <c r="V461" i="2"/>
  <c r="V438" i="2"/>
  <c r="V408" i="2"/>
  <c r="V383" i="2"/>
  <c r="V355" i="2"/>
  <c r="V330" i="2"/>
  <c r="V307" i="2"/>
  <c r="V278" i="2"/>
  <c r="V256" i="2"/>
  <c r="V228" i="2"/>
  <c r="V206" i="2"/>
  <c r="V178" i="2"/>
  <c r="V158" i="2"/>
  <c r="V137" i="2"/>
  <c r="V114" i="2"/>
  <c r="V94" i="2"/>
  <c r="V73" i="2"/>
  <c r="V53" i="2"/>
  <c r="V33" i="2"/>
  <c r="V9" i="2"/>
  <c r="V994" i="2"/>
  <c r="V959" i="2"/>
  <c r="V921" i="2"/>
  <c r="V884" i="2"/>
  <c r="V852" i="2"/>
  <c r="V815" i="2"/>
  <c r="V786" i="2"/>
  <c r="V749" i="2"/>
  <c r="V714" i="2"/>
  <c r="V683" i="2"/>
  <c r="V649" i="2"/>
  <c r="V620" i="2"/>
  <c r="V591" i="2"/>
  <c r="V567" i="2"/>
  <c r="V543" i="2"/>
  <c r="V514" i="2"/>
  <c r="V490" i="2"/>
  <c r="V460" i="2"/>
  <c r="V436" i="2"/>
  <c r="V407" i="2"/>
  <c r="V382" i="2"/>
  <c r="V354" i="2"/>
  <c r="V329" i="2"/>
  <c r="V299" i="2"/>
  <c r="V277" i="2"/>
  <c r="V255" i="2"/>
  <c r="V227" i="2"/>
  <c r="V205" i="2"/>
  <c r="V177" i="2"/>
  <c r="V157" i="2"/>
  <c r="V136" i="2"/>
  <c r="V113" i="2"/>
  <c r="V93" i="2"/>
  <c r="V72" i="2"/>
  <c r="V52" i="2"/>
  <c r="V29" i="2"/>
  <c r="V8" i="2"/>
  <c r="V958" i="2"/>
  <c r="V902" i="2"/>
  <c r="V836" i="2"/>
  <c r="V772" i="2"/>
  <c r="V711" i="2"/>
  <c r="V665" i="2"/>
  <c r="V606" i="2"/>
  <c r="V562" i="2"/>
  <c r="V510" i="2"/>
  <c r="V459" i="2"/>
  <c r="V422" i="2"/>
  <c r="V371" i="2"/>
  <c r="V325" i="2"/>
  <c r="V275" i="2"/>
  <c r="V240" i="2"/>
  <c r="V192" i="2"/>
  <c r="V148" i="2"/>
  <c r="V110" i="2"/>
  <c r="V71" i="2"/>
  <c r="V40" i="2"/>
  <c r="V948" i="2"/>
  <c r="V901" i="2"/>
  <c r="V835" i="2"/>
  <c r="V771" i="2"/>
  <c r="V708" i="2"/>
  <c r="V648" i="2"/>
  <c r="V605" i="2"/>
  <c r="V554" i="2"/>
  <c r="V509" i="2"/>
  <c r="V458" i="2"/>
  <c r="V421" i="2"/>
  <c r="V370" i="2"/>
  <c r="V318" i="2"/>
  <c r="V274" i="2"/>
  <c r="V226" i="2"/>
  <c r="V191" i="2"/>
  <c r="V147" i="2"/>
  <c r="V109" i="2"/>
  <c r="V70" i="2"/>
  <c r="V39" i="2"/>
  <c r="V2" i="2"/>
  <c r="V946" i="2"/>
  <c r="V878" i="2"/>
  <c r="V834" i="2"/>
  <c r="V770" i="2"/>
  <c r="V706" i="2"/>
  <c r="V647" i="2"/>
  <c r="V604" i="2"/>
  <c r="V553" i="2"/>
  <c r="V508" i="2"/>
  <c r="V457" i="2"/>
  <c r="V406" i="2"/>
  <c r="V367" i="2"/>
  <c r="V316" i="2"/>
  <c r="V273" i="2"/>
  <c r="V225" i="2"/>
  <c r="V190" i="2"/>
  <c r="V146" i="2"/>
  <c r="V107" i="2"/>
  <c r="V69" i="2"/>
  <c r="V27" i="2"/>
  <c r="V944" i="2"/>
  <c r="V876" i="2"/>
  <c r="V832" i="2"/>
  <c r="V768" i="2"/>
  <c r="V704" i="2"/>
  <c r="V646" i="2"/>
  <c r="V589" i="2"/>
  <c r="V552" i="2"/>
  <c r="V507" i="2"/>
  <c r="V456" i="2"/>
  <c r="V405" i="2"/>
  <c r="V366" i="2"/>
  <c r="V315" i="2"/>
  <c r="V272" i="2"/>
  <c r="V224" i="2"/>
  <c r="V176" i="2"/>
  <c r="V145" i="2"/>
  <c r="V106" i="2"/>
  <c r="V68" i="2"/>
  <c r="V26" i="2"/>
  <c r="V943" i="2"/>
  <c r="V875" i="2"/>
  <c r="V814" i="2"/>
  <c r="V767" i="2"/>
  <c r="V703" i="2"/>
  <c r="V645" i="2"/>
  <c r="V588" i="2"/>
  <c r="V551" i="2"/>
  <c r="V500" i="2"/>
  <c r="V455" i="2"/>
  <c r="V404" i="2"/>
  <c r="V352" i="2"/>
  <c r="V314" i="2"/>
  <c r="V265" i="2"/>
  <c r="V223" i="2"/>
  <c r="V175" i="2"/>
  <c r="V144" i="2"/>
  <c r="V105" i="2"/>
  <c r="V67" i="2"/>
  <c r="V25" i="2"/>
  <c r="V942" i="2"/>
  <c r="V874" i="2"/>
  <c r="V813" i="2"/>
  <c r="V766" i="2"/>
  <c r="V702" i="2"/>
  <c r="V644" i="2"/>
  <c r="V587" i="2"/>
  <c r="V536" i="2"/>
  <c r="V499" i="2"/>
  <c r="V453" i="2"/>
  <c r="V402" i="2"/>
  <c r="V350" i="2"/>
  <c r="V313" i="2"/>
  <c r="V264" i="2"/>
  <c r="V222" i="2"/>
  <c r="V174" i="2"/>
  <c r="V135" i="2"/>
  <c r="V104" i="2"/>
  <c r="V63" i="2"/>
  <c r="V24" i="2"/>
  <c r="V941" i="2"/>
  <c r="V873" i="2"/>
  <c r="V810" i="2"/>
  <c r="V748" i="2"/>
  <c r="V701" i="2"/>
  <c r="V643" i="2"/>
  <c r="V586" i="2"/>
  <c r="V535" i="2"/>
  <c r="V498" i="2"/>
  <c r="V452" i="2"/>
  <c r="V400" i="2"/>
  <c r="V349" i="2"/>
  <c r="V298" i="2"/>
  <c r="V263" i="2"/>
  <c r="V221" i="2"/>
  <c r="V173" i="2"/>
  <c r="V131" i="2"/>
  <c r="V103" i="2"/>
  <c r="V62" i="2"/>
  <c r="V23" i="2"/>
  <c r="V992" i="2"/>
  <c r="V940" i="2"/>
  <c r="V872" i="2"/>
  <c r="V808" i="2"/>
  <c r="V747" i="2"/>
  <c r="V700" i="2"/>
  <c r="V639" i="2"/>
  <c r="V585" i="2"/>
  <c r="V534" i="2"/>
  <c r="V489" i="2"/>
  <c r="V445" i="2"/>
  <c r="V399" i="2"/>
  <c r="V348" i="2"/>
  <c r="V297" i="2"/>
  <c r="V262" i="2"/>
  <c r="V214" i="2"/>
  <c r="V171" i="2"/>
  <c r="V130" i="2"/>
  <c r="V91" i="2"/>
  <c r="V61" i="2"/>
  <c r="V22" i="2"/>
  <c r="V991" i="2"/>
  <c r="V939" i="2"/>
  <c r="V871" i="2"/>
  <c r="V807" i="2"/>
  <c r="V746" i="2"/>
  <c r="V682" i="2"/>
  <c r="V637" i="2"/>
  <c r="V584" i="2"/>
  <c r="V533" i="2"/>
  <c r="V482" i="2"/>
  <c r="V444" i="2"/>
  <c r="V398" i="2"/>
  <c r="V347" i="2"/>
  <c r="V296" i="2"/>
  <c r="V248" i="2"/>
  <c r="V213" i="2"/>
  <c r="V170" i="2"/>
  <c r="V129" i="2"/>
  <c r="V90" i="2"/>
  <c r="V59" i="2"/>
  <c r="V21" i="2"/>
  <c r="V988" i="2"/>
  <c r="V920" i="2"/>
  <c r="V870" i="2"/>
  <c r="V806" i="2"/>
  <c r="V745" i="2"/>
  <c r="V681" i="2"/>
  <c r="V636" i="2"/>
  <c r="V583" i="2"/>
  <c r="V532" i="2"/>
  <c r="V480" i="2"/>
  <c r="V435" i="2"/>
  <c r="V397" i="2"/>
  <c r="V346" i="2"/>
  <c r="V295" i="2"/>
  <c r="V247" i="2"/>
  <c r="V986" i="2"/>
  <c r="V919" i="2"/>
  <c r="V869" i="2"/>
  <c r="V805" i="2"/>
  <c r="V742" i="2"/>
  <c r="V680" i="2"/>
  <c r="V619" i="2"/>
  <c r="V582" i="2"/>
  <c r="V531" i="2"/>
  <c r="V479" i="2"/>
  <c r="V434" i="2"/>
  <c r="V391" i="2"/>
  <c r="V345" i="2"/>
  <c r="V294" i="2"/>
  <c r="V246" i="2"/>
  <c r="V203" i="2"/>
  <c r="V165" i="2"/>
  <c r="V127" i="2"/>
  <c r="V88" i="2"/>
  <c r="V50" i="2"/>
  <c r="V19" i="2"/>
  <c r="V851" i="2"/>
  <c r="V669" i="2"/>
  <c r="V527" i="2"/>
  <c r="V373" i="2"/>
  <c r="V241" i="2"/>
  <c r="V123" i="2"/>
  <c r="V7" i="2"/>
  <c r="V43" i="2"/>
  <c r="V243" i="2"/>
  <c r="V850" i="2"/>
  <c r="V668" i="2"/>
  <c r="V512" i="2"/>
  <c r="V372" i="2"/>
  <c r="V212" i="2"/>
  <c r="V112" i="2"/>
  <c r="V6" i="2"/>
  <c r="V41" i="2"/>
  <c r="V848" i="2"/>
  <c r="V667" i="2"/>
  <c r="V511" i="2"/>
  <c r="V344" i="2"/>
  <c r="V197" i="2"/>
  <c r="V111" i="2"/>
  <c r="V5" i="2"/>
  <c r="V839" i="2"/>
  <c r="V666" i="2"/>
  <c r="V478" i="2"/>
  <c r="V343" i="2"/>
  <c r="V196" i="2"/>
  <c r="V89" i="2"/>
  <c r="V4" i="2"/>
  <c r="V837" i="2"/>
  <c r="V618" i="2"/>
  <c r="V477" i="2"/>
  <c r="V328" i="2"/>
  <c r="V195" i="2"/>
  <c r="V87" i="2"/>
  <c r="V3" i="2"/>
  <c r="V798" i="2"/>
  <c r="V617" i="2"/>
  <c r="V476" i="2"/>
  <c r="V327" i="2"/>
  <c r="V194" i="2"/>
  <c r="V86" i="2"/>
  <c r="V912" i="2"/>
  <c r="V530" i="2"/>
  <c r="V985" i="2"/>
  <c r="V796" i="2"/>
  <c r="V616" i="2"/>
  <c r="V475" i="2"/>
  <c r="V326" i="2"/>
  <c r="V193" i="2"/>
  <c r="V85" i="2"/>
  <c r="V982" i="2"/>
  <c r="V784" i="2"/>
  <c r="V610" i="2"/>
  <c r="V474" i="2"/>
  <c r="V293" i="2"/>
  <c r="V169" i="2"/>
  <c r="V84" i="2"/>
  <c r="V981" i="2"/>
  <c r="V776" i="2"/>
  <c r="V608" i="2"/>
  <c r="V427" i="2"/>
  <c r="V292" i="2"/>
  <c r="V164" i="2"/>
  <c r="V80" i="2"/>
  <c r="V564" i="2"/>
  <c r="V126" i="2"/>
  <c r="V974" i="2"/>
  <c r="V773" i="2"/>
  <c r="V581" i="2"/>
  <c r="V426" i="2"/>
  <c r="V291" i="2"/>
  <c r="V155" i="2"/>
  <c r="V51" i="2"/>
  <c r="V970" i="2"/>
  <c r="V734" i="2"/>
  <c r="V566" i="2"/>
  <c r="V425" i="2"/>
  <c r="V290" i="2"/>
  <c r="V154" i="2"/>
  <c r="V46" i="2"/>
  <c r="V712" i="2"/>
  <c r="V916" i="2"/>
  <c r="V732" i="2"/>
  <c r="V565" i="2"/>
  <c r="V424" i="2"/>
  <c r="V276" i="2"/>
  <c r="V153" i="2"/>
  <c r="V45" i="2"/>
  <c r="V731" i="2"/>
  <c r="V423" i="2"/>
  <c r="V245" i="2"/>
  <c r="V152" i="2"/>
  <c r="V380" i="2"/>
  <c r="V911" i="2"/>
  <c r="V730" i="2"/>
  <c r="V563" i="2"/>
  <c r="V381" i="2"/>
  <c r="V244" i="2"/>
  <c r="V128" i="2"/>
  <c r="V42" i="2"/>
  <c r="V905" i="2"/>
  <c r="V903" i="2"/>
  <c r="V670" i="2"/>
  <c r="V528" i="2"/>
  <c r="V379" i="2"/>
  <c r="V242" i="2"/>
  <c r="V125" i="2"/>
  <c r="V20" i="2"/>
  <c r="X991" i="2"/>
  <c r="X975" i="2"/>
  <c r="X959" i="2"/>
  <c r="X943" i="2"/>
  <c r="X927" i="2"/>
  <c r="X911" i="2"/>
  <c r="X895" i="2"/>
  <c r="X879" i="2"/>
  <c r="X863" i="2"/>
  <c r="X847" i="2"/>
  <c r="X831" i="2"/>
  <c r="X815" i="2"/>
  <c r="X799" i="2"/>
  <c r="X783" i="2"/>
  <c r="X767" i="2"/>
  <c r="X751" i="2"/>
  <c r="X735" i="2"/>
  <c r="X719" i="2"/>
  <c r="X703" i="2"/>
  <c r="X687" i="2"/>
  <c r="X671" i="2"/>
  <c r="X655" i="2"/>
  <c r="X639" i="2"/>
  <c r="X623" i="2"/>
  <c r="X607" i="2"/>
  <c r="X591" i="2"/>
  <c r="X575" i="2"/>
  <c r="X559" i="2"/>
  <c r="X543" i="2"/>
  <c r="X527" i="2"/>
  <c r="X511" i="2"/>
  <c r="X495" i="2"/>
  <c r="X479" i="2"/>
  <c r="X463" i="2"/>
  <c r="X447" i="2"/>
  <c r="X431" i="2"/>
  <c r="X415" i="2"/>
  <c r="X399" i="2"/>
  <c r="X383" i="2"/>
  <c r="X367" i="2"/>
  <c r="X351" i="2"/>
  <c r="X335" i="2"/>
  <c r="X319" i="2"/>
  <c r="X303" i="2"/>
  <c r="X287" i="2"/>
  <c r="X271" i="2"/>
  <c r="X255" i="2"/>
  <c r="X239" i="2"/>
  <c r="X223" i="2"/>
  <c r="X207" i="2"/>
  <c r="X191" i="2"/>
  <c r="X175" i="2"/>
  <c r="X159" i="2"/>
  <c r="X143" i="2"/>
  <c r="X127" i="2"/>
  <c r="X111" i="2"/>
  <c r="X95" i="2"/>
  <c r="X79" i="2"/>
  <c r="X63" i="2"/>
  <c r="X47" i="2"/>
  <c r="X31" i="2"/>
  <c r="X15" i="2"/>
  <c r="X989" i="2"/>
  <c r="X973" i="2"/>
  <c r="X957" i="2"/>
  <c r="X941" i="2"/>
  <c r="X925" i="2"/>
  <c r="X909" i="2"/>
  <c r="X893" i="2"/>
  <c r="X877" i="2"/>
  <c r="X861" i="2"/>
  <c r="X845" i="2"/>
  <c r="X829" i="2"/>
  <c r="X813" i="2"/>
  <c r="X797" i="2"/>
  <c r="X781" i="2"/>
  <c r="X765" i="2"/>
  <c r="X749" i="2"/>
  <c r="X733" i="2"/>
  <c r="X717" i="2"/>
  <c r="X701" i="2"/>
  <c r="X685" i="2"/>
  <c r="X669" i="2"/>
  <c r="X653" i="2"/>
  <c r="X637" i="2"/>
  <c r="X621" i="2"/>
  <c r="X605" i="2"/>
  <c r="X589" i="2"/>
  <c r="X573" i="2"/>
  <c r="X557" i="2"/>
  <c r="X541" i="2"/>
  <c r="X525" i="2"/>
  <c r="X509" i="2"/>
  <c r="X493" i="2"/>
  <c r="X477" i="2"/>
  <c r="X461" i="2"/>
  <c r="X445" i="2"/>
  <c r="X429" i="2"/>
  <c r="X413" i="2"/>
  <c r="X397" i="2"/>
  <c r="X381" i="2"/>
  <c r="X365" i="2"/>
  <c r="X349" i="2"/>
  <c r="X333" i="2"/>
  <c r="X317" i="2"/>
  <c r="X301" i="2"/>
  <c r="X285" i="2"/>
  <c r="X269" i="2"/>
  <c r="X253" i="2"/>
  <c r="X237" i="2"/>
  <c r="X221" i="2"/>
  <c r="X205" i="2"/>
  <c r="X189" i="2"/>
  <c r="X173" i="2"/>
  <c r="X157" i="2"/>
  <c r="X141" i="2"/>
  <c r="X125" i="2"/>
  <c r="X109" i="2"/>
  <c r="X93" i="2"/>
  <c r="X77" i="2"/>
  <c r="X61" i="2"/>
  <c r="X45" i="2"/>
  <c r="X29" i="2"/>
  <c r="X13" i="2"/>
  <c r="X985" i="2"/>
  <c r="X969" i="2"/>
  <c r="X953" i="2"/>
  <c r="X937" i="2"/>
  <c r="X921" i="2"/>
  <c r="X905" i="2"/>
  <c r="X889" i="2"/>
  <c r="X873" i="2"/>
  <c r="X857" i="2"/>
  <c r="X841" i="2"/>
  <c r="X825" i="2"/>
  <c r="X809" i="2"/>
  <c r="X793" i="2"/>
  <c r="X777" i="2"/>
  <c r="X761" i="2"/>
  <c r="X745" i="2"/>
  <c r="X729" i="2"/>
  <c r="X713" i="2"/>
  <c r="X697" i="2"/>
  <c r="X681" i="2"/>
  <c r="X665" i="2"/>
  <c r="X649" i="2"/>
  <c r="X633" i="2"/>
  <c r="X617" i="2"/>
  <c r="X601" i="2"/>
  <c r="X585" i="2"/>
  <c r="X569" i="2"/>
  <c r="X553" i="2"/>
  <c r="X537" i="2"/>
  <c r="X521" i="2"/>
  <c r="X505" i="2"/>
  <c r="X489" i="2"/>
  <c r="X473" i="2"/>
  <c r="X457" i="2"/>
  <c r="X441" i="2"/>
  <c r="X425" i="2"/>
  <c r="X409" i="2"/>
  <c r="X393" i="2"/>
  <c r="X377" i="2"/>
  <c r="X361" i="2"/>
  <c r="X345" i="2"/>
  <c r="X329" i="2"/>
  <c r="X313" i="2"/>
  <c r="X297" i="2"/>
  <c r="X281" i="2"/>
  <c r="X265" i="2"/>
  <c r="X249" i="2"/>
  <c r="X233" i="2"/>
  <c r="X217" i="2"/>
  <c r="X201" i="2"/>
  <c r="X185" i="2"/>
  <c r="X169" i="2"/>
  <c r="X153" i="2"/>
  <c r="X137" i="2"/>
  <c r="X121" i="2"/>
  <c r="X105" i="2"/>
  <c r="X89" i="2"/>
  <c r="X73" i="2"/>
  <c r="X57" i="2"/>
  <c r="X41" i="2"/>
  <c r="X25" i="2"/>
  <c r="X9" i="2"/>
  <c r="X984" i="2"/>
  <c r="X965" i="2"/>
  <c r="X946" i="2"/>
  <c r="X926" i="2"/>
  <c r="X906" i="2"/>
  <c r="X886" i="2"/>
  <c r="X867" i="2"/>
  <c r="X848" i="2"/>
  <c r="X827" i="2"/>
  <c r="X807" i="2"/>
  <c r="X788" i="2"/>
  <c r="X769" i="2"/>
  <c r="X748" i="2"/>
  <c r="X728" i="2"/>
  <c r="X709" i="2"/>
  <c r="X690" i="2"/>
  <c r="X670" i="2"/>
  <c r="X650" i="2"/>
  <c r="X630" i="2"/>
  <c r="X611" i="2"/>
  <c r="X592" i="2"/>
  <c r="X571" i="2"/>
  <c r="X551" i="2"/>
  <c r="X532" i="2"/>
  <c r="X513" i="2"/>
  <c r="X492" i="2"/>
  <c r="X472" i="2"/>
  <c r="X453" i="2"/>
  <c r="X434" i="2"/>
  <c r="X414" i="2"/>
  <c r="X394" i="2"/>
  <c r="X374" i="2"/>
  <c r="X355" i="2"/>
  <c r="X336" i="2"/>
  <c r="X315" i="2"/>
  <c r="X295" i="2"/>
  <c r="X276" i="2"/>
  <c r="X257" i="2"/>
  <c r="X236" i="2"/>
  <c r="X216" i="2"/>
  <c r="X197" i="2"/>
  <c r="X178" i="2"/>
  <c r="X158" i="2"/>
  <c r="X138" i="2"/>
  <c r="X118" i="2"/>
  <c r="X99" i="2"/>
  <c r="X80" i="2"/>
  <c r="X59" i="2"/>
  <c r="X39" i="2"/>
  <c r="X20" i="2"/>
  <c r="X2" i="2"/>
  <c r="X1000" i="2"/>
  <c r="X981" i="2"/>
  <c r="X962" i="2"/>
  <c r="X942" i="2"/>
  <c r="X922" i="2"/>
  <c r="X902" i="2"/>
  <c r="X883" i="2"/>
  <c r="X864" i="2"/>
  <c r="X843" i="2"/>
  <c r="X823" i="2"/>
  <c r="X804" i="2"/>
  <c r="X785" i="2"/>
  <c r="X764" i="2"/>
  <c r="X744" i="2"/>
  <c r="X725" i="2"/>
  <c r="X706" i="2"/>
  <c r="X686" i="2"/>
  <c r="X666" i="2"/>
  <c r="X646" i="2"/>
  <c r="X627" i="2"/>
  <c r="X608" i="2"/>
  <c r="X587" i="2"/>
  <c r="X567" i="2"/>
  <c r="X548" i="2"/>
  <c r="X529" i="2"/>
  <c r="X508" i="2"/>
  <c r="X488" i="2"/>
  <c r="X469" i="2"/>
  <c r="X997" i="2"/>
  <c r="X978" i="2"/>
  <c r="X958" i="2"/>
  <c r="X938" i="2"/>
  <c r="X918" i="2"/>
  <c r="X899" i="2"/>
  <c r="X880" i="2"/>
  <c r="X859" i="2"/>
  <c r="X839" i="2"/>
  <c r="X820" i="2"/>
  <c r="X801" i="2"/>
  <c r="X780" i="2"/>
  <c r="X760" i="2"/>
  <c r="X741" i="2"/>
  <c r="X722" i="2"/>
  <c r="X702" i="2"/>
  <c r="X682" i="2"/>
  <c r="X662" i="2"/>
  <c r="X643" i="2"/>
  <c r="X624" i="2"/>
  <c r="X603" i="2"/>
  <c r="X583" i="2"/>
  <c r="X564" i="2"/>
  <c r="X545" i="2"/>
  <c r="X524" i="2"/>
  <c r="X504" i="2"/>
  <c r="X485" i="2"/>
  <c r="X466" i="2"/>
  <c r="X446" i="2"/>
  <c r="X426" i="2"/>
  <c r="X406" i="2"/>
  <c r="X387" i="2"/>
  <c r="X368" i="2"/>
  <c r="X347" i="2"/>
  <c r="X327" i="2"/>
  <c r="X308" i="2"/>
  <c r="X289" i="2"/>
  <c r="X268" i="2"/>
  <c r="X248" i="2"/>
  <c r="X229" i="2"/>
  <c r="X210" i="2"/>
  <c r="X190" i="2"/>
  <c r="X170" i="2"/>
  <c r="X150" i="2"/>
  <c r="X131" i="2"/>
  <c r="X112" i="2"/>
  <c r="X91" i="2"/>
  <c r="X71" i="2"/>
  <c r="X52" i="2"/>
  <c r="X33" i="2"/>
  <c r="X12" i="2"/>
  <c r="X995" i="2"/>
  <c r="X971" i="2"/>
  <c r="X948" i="2"/>
  <c r="X923" i="2"/>
  <c r="X898" i="2"/>
  <c r="X874" i="2"/>
  <c r="X851" i="2"/>
  <c r="X826" i="2"/>
  <c r="X802" i="2"/>
  <c r="X776" i="2"/>
  <c r="X754" i="2"/>
  <c r="X730" i="2"/>
  <c r="X705" i="2"/>
  <c r="X679" i="2"/>
  <c r="X657" i="2"/>
  <c r="X632" i="2"/>
  <c r="X609" i="2"/>
  <c r="X582" i="2"/>
  <c r="X560" i="2"/>
  <c r="X535" i="2"/>
  <c r="X512" i="2"/>
  <c r="X486" i="2"/>
  <c r="X462" i="2"/>
  <c r="X439" i="2"/>
  <c r="X418" i="2"/>
  <c r="X395" i="2"/>
  <c r="X372" i="2"/>
  <c r="X350" i="2"/>
  <c r="X326" i="2"/>
  <c r="X305" i="2"/>
  <c r="X282" i="2"/>
  <c r="X260" i="2"/>
  <c r="X238" i="2"/>
  <c r="X214" i="2"/>
  <c r="X193" i="2"/>
  <c r="X168" i="2"/>
  <c r="X147" i="2"/>
  <c r="X124" i="2"/>
  <c r="X102" i="2"/>
  <c r="X81" i="2"/>
  <c r="X56" i="2"/>
  <c r="X35" i="2"/>
  <c r="X11" i="2"/>
  <c r="X993" i="2"/>
  <c r="X968" i="2"/>
  <c r="X945" i="2"/>
  <c r="X919" i="2"/>
  <c r="X896" i="2"/>
  <c r="X871" i="2"/>
  <c r="X849" i="2"/>
  <c r="X822" i="2"/>
  <c r="X798" i="2"/>
  <c r="X774" i="2"/>
  <c r="X752" i="2"/>
  <c r="X726" i="2"/>
  <c r="X700" i="2"/>
  <c r="X677" i="2"/>
  <c r="X654" i="2"/>
  <c r="X629" i="2"/>
  <c r="X604" i="2"/>
  <c r="X580" i="2"/>
  <c r="X556" i="2"/>
  <c r="X533" i="2"/>
  <c r="X507" i="2"/>
  <c r="X483" i="2"/>
  <c r="X459" i="2"/>
  <c r="X437" i="2"/>
  <c r="X416" i="2"/>
  <c r="X391" i="2"/>
  <c r="X370" i="2"/>
  <c r="X346" i="2"/>
  <c r="X324" i="2"/>
  <c r="X302" i="2"/>
  <c r="X279" i="2"/>
  <c r="X258" i="2"/>
  <c r="X234" i="2"/>
  <c r="X212" i="2"/>
  <c r="X188" i="2"/>
  <c r="X166" i="2"/>
  <c r="X145" i="2"/>
  <c r="X122" i="2"/>
  <c r="X100" i="2"/>
  <c r="X76" i="2"/>
  <c r="X54" i="2"/>
  <c r="X32" i="2"/>
  <c r="X8" i="2"/>
  <c r="X992" i="2"/>
  <c r="X967" i="2"/>
  <c r="X944" i="2"/>
  <c r="X917" i="2"/>
  <c r="X894" i="2"/>
  <c r="X870" i="2"/>
  <c r="X846" i="2"/>
  <c r="X821" i="2"/>
  <c r="X796" i="2"/>
  <c r="X773" i="2"/>
  <c r="X750" i="2"/>
  <c r="X724" i="2"/>
  <c r="X699" i="2"/>
  <c r="X676" i="2"/>
  <c r="X652" i="2"/>
  <c r="X628" i="2"/>
  <c r="X602" i="2"/>
  <c r="X579" i="2"/>
  <c r="X555" i="2"/>
  <c r="X531" i="2"/>
  <c r="X506" i="2"/>
  <c r="X482" i="2"/>
  <c r="X458" i="2"/>
  <c r="X436" i="2"/>
  <c r="X412" i="2"/>
  <c r="X390" i="2"/>
  <c r="X369" i="2"/>
  <c r="X344" i="2"/>
  <c r="X323" i="2"/>
  <c r="X300" i="2"/>
  <c r="X278" i="2"/>
  <c r="X256" i="2"/>
  <c r="X232" i="2"/>
  <c r="X211" i="2"/>
  <c r="X187" i="2"/>
  <c r="X165" i="2"/>
  <c r="X144" i="2"/>
  <c r="X120" i="2"/>
  <c r="X98" i="2"/>
  <c r="X75" i="2"/>
  <c r="X53" i="2"/>
  <c r="X30" i="2"/>
  <c r="X7" i="2"/>
  <c r="X987" i="2"/>
  <c r="X963" i="2"/>
  <c r="X936" i="2"/>
  <c r="X914" i="2"/>
  <c r="X890" i="2"/>
  <c r="X866" i="2"/>
  <c r="X840" i="2"/>
  <c r="X817" i="2"/>
  <c r="X792" i="2"/>
  <c r="X770" i="2"/>
  <c r="X743" i="2"/>
  <c r="X720" i="2"/>
  <c r="X695" i="2"/>
  <c r="X673" i="2"/>
  <c r="X647" i="2"/>
  <c r="X622" i="2"/>
  <c r="X598" i="2"/>
  <c r="X576" i="2"/>
  <c r="X550" i="2"/>
  <c r="X526" i="2"/>
  <c r="X501" i="2"/>
  <c r="X478" i="2"/>
  <c r="X454" i="2"/>
  <c r="X432" i="2"/>
  <c r="X408" i="2"/>
  <c r="X386" i="2"/>
  <c r="X363" i="2"/>
  <c r="X341" i="2"/>
  <c r="X320" i="2"/>
  <c r="X296" i="2"/>
  <c r="X274" i="2"/>
  <c r="X251" i="2"/>
  <c r="X228" i="2"/>
  <c r="X206" i="2"/>
  <c r="X183" i="2"/>
  <c r="X162" i="2"/>
  <c r="X139" i="2"/>
  <c r="X116" i="2"/>
  <c r="X94" i="2"/>
  <c r="X70" i="2"/>
  <c r="X49" i="2"/>
  <c r="X26" i="2"/>
  <c r="X4" i="2"/>
  <c r="X994" i="2"/>
  <c r="X960" i="2"/>
  <c r="X930" i="2"/>
  <c r="X897" i="2"/>
  <c r="X862" i="2"/>
  <c r="X833" i="2"/>
  <c r="X800" i="2"/>
  <c r="X766" i="2"/>
  <c r="X736" i="2"/>
  <c r="X704" i="2"/>
  <c r="X668" i="2"/>
  <c r="X638" i="2"/>
  <c r="X606" i="2"/>
  <c r="X572" i="2"/>
  <c r="X540" i="2"/>
  <c r="X510" i="2"/>
  <c r="X475" i="2"/>
  <c r="X444" i="2"/>
  <c r="X417" i="2"/>
  <c r="X384" i="2"/>
  <c r="X356" i="2"/>
  <c r="X325" i="2"/>
  <c r="X293" i="2"/>
  <c r="X264" i="2"/>
  <c r="X235" i="2"/>
  <c r="X203" i="2"/>
  <c r="X176" i="2"/>
  <c r="X146" i="2"/>
  <c r="X114" i="2"/>
  <c r="X85" i="2"/>
  <c r="X55" i="2"/>
  <c r="X23" i="2"/>
  <c r="X988" i="2"/>
  <c r="X955" i="2"/>
  <c r="X928" i="2"/>
  <c r="X891" i="2"/>
  <c r="X858" i="2"/>
  <c r="X830" i="2"/>
  <c r="X794" i="2"/>
  <c r="X762" i="2"/>
  <c r="X732" i="2"/>
  <c r="X696" i="2"/>
  <c r="X664" i="2"/>
  <c r="X635" i="2"/>
  <c r="X599" i="2"/>
  <c r="X568" i="2"/>
  <c r="X538" i="2"/>
  <c r="X502" i="2"/>
  <c r="X471" i="2"/>
  <c r="X442" i="2"/>
  <c r="X410" i="2"/>
  <c r="X380" i="2"/>
  <c r="X353" i="2"/>
  <c r="X321" i="2"/>
  <c r="X291" i="2"/>
  <c r="X262" i="2"/>
  <c r="X230" i="2"/>
  <c r="X200" i="2"/>
  <c r="X172" i="2"/>
  <c r="X140" i="2"/>
  <c r="X110" i="2"/>
  <c r="X83" i="2"/>
  <c r="X50" i="2"/>
  <c r="X21" i="2"/>
  <c r="X986" i="2"/>
  <c r="X954" i="2"/>
  <c r="X924" i="2"/>
  <c r="X888" i="2"/>
  <c r="X856" i="2"/>
  <c r="X828" i="2"/>
  <c r="X791" i="2"/>
  <c r="X759" i="2"/>
  <c r="X731" i="2"/>
  <c r="X694" i="2"/>
  <c r="X663" i="2"/>
  <c r="X634" i="2"/>
  <c r="X597" i="2"/>
  <c r="X566" i="2"/>
  <c r="X536" i="2"/>
  <c r="X500" i="2"/>
  <c r="X470" i="2"/>
  <c r="X440" i="2"/>
  <c r="X407" i="2"/>
  <c r="X379" i="2"/>
  <c r="X352" i="2"/>
  <c r="X318" i="2"/>
  <c r="X290" i="2"/>
  <c r="X261" i="2"/>
  <c r="X227" i="2"/>
  <c r="X199" i="2"/>
  <c r="X171" i="2"/>
  <c r="X136" i="2"/>
  <c r="X108" i="2"/>
  <c r="X82" i="2"/>
  <c r="X48" i="2"/>
  <c r="X19" i="2"/>
  <c r="X980" i="2"/>
  <c r="X950" i="2"/>
  <c r="X915" i="2"/>
  <c r="X884" i="2"/>
  <c r="X853" i="2"/>
  <c r="X818" i="2"/>
  <c r="X787" i="2"/>
  <c r="X756" i="2"/>
  <c r="X721" i="2"/>
  <c r="X691" i="2"/>
  <c r="X659" i="2"/>
  <c r="X625" i="2"/>
  <c r="X594" i="2"/>
  <c r="X562" i="2"/>
  <c r="X528" i="2"/>
  <c r="X497" i="2"/>
  <c r="X465" i="2"/>
  <c r="X433" i="2"/>
  <c r="X403" i="2"/>
  <c r="X375" i="2"/>
  <c r="X342" i="2"/>
  <c r="X312" i="2"/>
  <c r="X284" i="2"/>
  <c r="X252" i="2"/>
  <c r="X224" i="2"/>
  <c r="X195" i="2"/>
  <c r="X990" i="2"/>
  <c r="X947" i="2"/>
  <c r="X904" i="2"/>
  <c r="X860" i="2"/>
  <c r="X814" i="2"/>
  <c r="X775" i="2"/>
  <c r="X734" i="2"/>
  <c r="X688" i="2"/>
  <c r="X644" i="2"/>
  <c r="X600" i="2"/>
  <c r="X558" i="2"/>
  <c r="X517" i="2"/>
  <c r="X474" i="2"/>
  <c r="X428" i="2"/>
  <c r="X392" i="2"/>
  <c r="X354" i="2"/>
  <c r="X310" i="2"/>
  <c r="X272" i="2"/>
  <c r="X231" i="2"/>
  <c r="X192" i="2"/>
  <c r="X154" i="2"/>
  <c r="X117" i="2"/>
  <c r="X78" i="2"/>
  <c r="X42" i="2"/>
  <c r="X5" i="2"/>
  <c r="X983" i="2"/>
  <c r="X940" i="2"/>
  <c r="X903" i="2"/>
  <c r="X855" i="2"/>
  <c r="X812" i="2"/>
  <c r="X772" i="2"/>
  <c r="X727" i="2"/>
  <c r="X684" i="2"/>
  <c r="X642" i="2"/>
  <c r="X596" i="2"/>
  <c r="X554" i="2"/>
  <c r="X516" i="2"/>
  <c r="X468" i="2"/>
  <c r="X427" i="2"/>
  <c r="X389" i="2"/>
  <c r="X348" i="2"/>
  <c r="X309" i="2"/>
  <c r="X270" i="2"/>
  <c r="X226" i="2"/>
  <c r="X186" i="2"/>
  <c r="X152" i="2"/>
  <c r="X115" i="2"/>
  <c r="X74" i="2"/>
  <c r="X40" i="2"/>
  <c r="X3" i="2"/>
  <c r="X982" i="2"/>
  <c r="X939" i="2"/>
  <c r="X901" i="2"/>
  <c r="X854" i="2"/>
  <c r="X811" i="2"/>
  <c r="X771" i="2"/>
  <c r="X723" i="2"/>
  <c r="X683" i="2"/>
  <c r="X641" i="2"/>
  <c r="X595" i="2"/>
  <c r="X552" i="2"/>
  <c r="X515" i="2"/>
  <c r="X467" i="2"/>
  <c r="X424" i="2"/>
  <c r="X388" i="2"/>
  <c r="X343" i="2"/>
  <c r="X307" i="2"/>
  <c r="X267" i="2"/>
  <c r="X225" i="2"/>
  <c r="X184" i="2"/>
  <c r="X151" i="2"/>
  <c r="X113" i="2"/>
  <c r="X72" i="2"/>
  <c r="X38" i="2"/>
  <c r="X979" i="2"/>
  <c r="X935" i="2"/>
  <c r="X900" i="2"/>
  <c r="X852" i="2"/>
  <c r="X810" i="2"/>
  <c r="X768" i="2"/>
  <c r="X718" i="2"/>
  <c r="X680" i="2"/>
  <c r="X640" i="2"/>
  <c r="X593" i="2"/>
  <c r="X549" i="2"/>
  <c r="X514" i="2"/>
  <c r="X464" i="2"/>
  <c r="X423" i="2"/>
  <c r="X385" i="2"/>
  <c r="X340" i="2"/>
  <c r="X306" i="2"/>
  <c r="X266" i="2"/>
  <c r="X222" i="2"/>
  <c r="X182" i="2"/>
  <c r="X149" i="2"/>
  <c r="X107" i="2"/>
  <c r="X69" i="2"/>
  <c r="X37" i="2"/>
  <c r="X977" i="2"/>
  <c r="X934" i="2"/>
  <c r="X892" i="2"/>
  <c r="X850" i="2"/>
  <c r="X808" i="2"/>
  <c r="X763" i="2"/>
  <c r="X716" i="2"/>
  <c r="X678" i="2"/>
  <c r="X636" i="2"/>
  <c r="X590" i="2"/>
  <c r="X547" i="2"/>
  <c r="X503" i="2"/>
  <c r="X460" i="2"/>
  <c r="X422" i="2"/>
  <c r="X382" i="2"/>
  <c r="X339" i="2"/>
  <c r="X304" i="2"/>
  <c r="X263" i="2"/>
  <c r="X220" i="2"/>
  <c r="X181" i="2"/>
  <c r="X148" i="2"/>
  <c r="X106" i="2"/>
  <c r="X68" i="2"/>
  <c r="X36" i="2"/>
  <c r="X974" i="2"/>
  <c r="X932" i="2"/>
  <c r="X885" i="2"/>
  <c r="X842" i="2"/>
  <c r="X805" i="2"/>
  <c r="X757" i="2"/>
  <c r="X714" i="2"/>
  <c r="X674" i="2"/>
  <c r="X626" i="2"/>
  <c r="X586" i="2"/>
  <c r="X544" i="2"/>
  <c r="X498" i="2"/>
  <c r="X455" i="2"/>
  <c r="X420" i="2"/>
  <c r="X376" i="2"/>
  <c r="X337" i="2"/>
  <c r="X298" i="2"/>
  <c r="X254" i="2"/>
  <c r="X218" i="2"/>
  <c r="X179" i="2"/>
  <c r="X135" i="2"/>
  <c r="X103" i="2"/>
  <c r="X66" i="2"/>
  <c r="X28" i="2"/>
  <c r="X976" i="2"/>
  <c r="X912" i="2"/>
  <c r="X837" i="2"/>
  <c r="X779" i="2"/>
  <c r="X708" i="2"/>
  <c r="X631" i="2"/>
  <c r="X570" i="2"/>
  <c r="X494" i="2"/>
  <c r="X435" i="2"/>
  <c r="X364" i="2"/>
  <c r="X299" i="2"/>
  <c r="X243" i="2"/>
  <c r="X174" i="2"/>
  <c r="X123" i="2"/>
  <c r="X60" i="2"/>
  <c r="X972" i="2"/>
  <c r="X910" i="2"/>
  <c r="X836" i="2"/>
  <c r="X778" i="2"/>
  <c r="X707" i="2"/>
  <c r="X620" i="2"/>
  <c r="X565" i="2"/>
  <c r="X491" i="2"/>
  <c r="X430" i="2"/>
  <c r="X362" i="2"/>
  <c r="X294" i="2"/>
  <c r="X242" i="2"/>
  <c r="X167" i="2"/>
  <c r="X119" i="2"/>
  <c r="X58" i="2"/>
  <c r="X970" i="2"/>
  <c r="X908" i="2"/>
  <c r="X835" i="2"/>
  <c r="X758" i="2"/>
  <c r="X698" i="2"/>
  <c r="X619" i="2"/>
  <c r="X563" i="2"/>
  <c r="X490" i="2"/>
  <c r="X421" i="2"/>
  <c r="X360" i="2"/>
  <c r="X292" i="2"/>
  <c r="X241" i="2"/>
  <c r="X164" i="2"/>
  <c r="X104" i="2"/>
  <c r="X51" i="2"/>
  <c r="X966" i="2"/>
  <c r="X907" i="2"/>
  <c r="X834" i="2"/>
  <c r="X755" i="2"/>
  <c r="X693" i="2"/>
  <c r="X618" i="2"/>
  <c r="X561" i="2"/>
  <c r="X487" i="2"/>
  <c r="X419" i="2"/>
  <c r="X359" i="2"/>
  <c r="X288" i="2"/>
  <c r="X240" i="2"/>
  <c r="X163" i="2"/>
  <c r="X101" i="2"/>
  <c r="X46" i="2"/>
  <c r="X964" i="2"/>
  <c r="X887" i="2"/>
  <c r="X832" i="2"/>
  <c r="X753" i="2"/>
  <c r="X692" i="2"/>
  <c r="X616" i="2"/>
  <c r="X546" i="2"/>
  <c r="X484" i="2"/>
  <c r="X411" i="2"/>
  <c r="X358" i="2"/>
  <c r="X286" i="2"/>
  <c r="X219" i="2"/>
  <c r="X161" i="2"/>
  <c r="X97" i="2"/>
  <c r="X44" i="2"/>
  <c r="X956" i="2"/>
  <c r="X881" i="2"/>
  <c r="X819" i="2"/>
  <c r="X746" i="2"/>
  <c r="X675" i="2"/>
  <c r="X614" i="2"/>
  <c r="X539" i="2"/>
  <c r="X480" i="2"/>
  <c r="X404" i="2"/>
  <c r="X338" i="2"/>
  <c r="X280" i="2"/>
  <c r="X213" i="2"/>
  <c r="X156" i="2"/>
  <c r="X92" i="2"/>
  <c r="X34" i="2"/>
  <c r="X961" i="2"/>
  <c r="X868" i="2"/>
  <c r="X740" i="2"/>
  <c r="X648" i="2"/>
  <c r="X522" i="2"/>
  <c r="X405" i="2"/>
  <c r="X322" i="2"/>
  <c r="X208" i="2"/>
  <c r="X128" i="2"/>
  <c r="X18" i="2"/>
  <c r="X952" i="2"/>
  <c r="X865" i="2"/>
  <c r="X739" i="2"/>
  <c r="X645" i="2"/>
  <c r="X520" i="2"/>
  <c r="X402" i="2"/>
  <c r="X316" i="2"/>
  <c r="X204" i="2"/>
  <c r="X126" i="2"/>
  <c r="X17" i="2"/>
  <c r="X951" i="2"/>
  <c r="X844" i="2"/>
  <c r="X738" i="2"/>
  <c r="X615" i="2"/>
  <c r="X519" i="2"/>
  <c r="X401" i="2"/>
  <c r="X314" i="2"/>
  <c r="X202" i="2"/>
  <c r="X96" i="2"/>
  <c r="X16" i="2"/>
  <c r="X949" i="2"/>
  <c r="X838" i="2"/>
  <c r="X737" i="2"/>
  <c r="X613" i="2"/>
  <c r="X518" i="2"/>
  <c r="X400" i="2"/>
  <c r="X311" i="2"/>
  <c r="X198" i="2"/>
  <c r="X90" i="2"/>
  <c r="X14" i="2"/>
  <c r="X933" i="2"/>
  <c r="X824" i="2"/>
  <c r="X715" i="2"/>
  <c r="X612" i="2"/>
  <c r="X499" i="2"/>
  <c r="X398" i="2"/>
  <c r="X283" i="2"/>
  <c r="X196" i="2"/>
  <c r="X88" i="2"/>
  <c r="X10" i="2"/>
  <c r="X931" i="2"/>
  <c r="X816" i="2"/>
  <c r="X712" i="2"/>
  <c r="X610" i="2"/>
  <c r="X496" i="2"/>
  <c r="X396" i="2"/>
  <c r="X277" i="2"/>
  <c r="X194" i="2"/>
  <c r="X87" i="2"/>
  <c r="X6" i="2"/>
  <c r="X929" i="2"/>
  <c r="X806" i="2"/>
  <c r="X711" i="2"/>
  <c r="X588" i="2"/>
  <c r="X481" i="2"/>
  <c r="X378" i="2"/>
  <c r="X275" i="2"/>
  <c r="X180" i="2"/>
  <c r="X86" i="2"/>
  <c r="X916" i="2"/>
  <c r="X795" i="2"/>
  <c r="X689" i="2"/>
  <c r="X920" i="2"/>
  <c r="X710" i="2"/>
  <c r="X523" i="2"/>
  <c r="X331" i="2"/>
  <c r="X134" i="2"/>
  <c r="X913" i="2"/>
  <c r="X672" i="2"/>
  <c r="X476" i="2"/>
  <c r="X330" i="2"/>
  <c r="X133" i="2"/>
  <c r="X882" i="2"/>
  <c r="X667" i="2"/>
  <c r="X456" i="2"/>
  <c r="X328" i="2"/>
  <c r="X132" i="2"/>
  <c r="X878" i="2"/>
  <c r="X661" i="2"/>
  <c r="X452" i="2"/>
  <c r="X273" i="2"/>
  <c r="X130" i="2"/>
  <c r="X876" i="2"/>
  <c r="X660" i="2"/>
  <c r="X451" i="2"/>
  <c r="X259" i="2"/>
  <c r="X129" i="2"/>
  <c r="X875" i="2"/>
  <c r="X658" i="2"/>
  <c r="X450" i="2"/>
  <c r="X250" i="2"/>
  <c r="X84" i="2"/>
  <c r="X872" i="2"/>
  <c r="X656" i="2"/>
  <c r="X449" i="2"/>
  <c r="X247" i="2"/>
  <c r="X67" i="2"/>
  <c r="X869" i="2"/>
  <c r="X651" i="2"/>
  <c r="X448" i="2"/>
  <c r="X246" i="2"/>
  <c r="X65" i="2"/>
  <c r="X803" i="2"/>
  <c r="X584" i="2"/>
  <c r="X443" i="2"/>
  <c r="X245" i="2"/>
  <c r="X64" i="2"/>
  <c r="X790" i="2"/>
  <c r="X581" i="2"/>
  <c r="X438" i="2"/>
  <c r="X244" i="2"/>
  <c r="X62" i="2"/>
  <c r="X789" i="2"/>
  <c r="X578" i="2"/>
  <c r="X373" i="2"/>
  <c r="X215" i="2"/>
  <c r="X43" i="2"/>
  <c r="X786" i="2"/>
  <c r="X177" i="2"/>
  <c r="X784" i="2"/>
  <c r="X160" i="2"/>
  <c r="X782" i="2"/>
  <c r="X155" i="2"/>
  <c r="X747" i="2"/>
  <c r="X142" i="2"/>
  <c r="X742" i="2"/>
  <c r="X27" i="2"/>
  <c r="X577" i="2"/>
  <c r="X24" i="2"/>
  <c r="X332" i="2"/>
  <c r="X574" i="2"/>
  <c r="X22" i="2"/>
  <c r="X542" i="2"/>
  <c r="X534" i="2"/>
  <c r="X530" i="2"/>
  <c r="X371" i="2"/>
  <c r="X366" i="2"/>
  <c r="X357" i="2"/>
  <c r="X999" i="2"/>
  <c r="X334" i="2"/>
  <c r="X998" i="2"/>
  <c r="X996" i="2"/>
  <c r="X209" i="2"/>
  <c r="W999" i="2"/>
  <c r="W983" i="2"/>
  <c r="W967" i="2"/>
  <c r="W951" i="2"/>
  <c r="W935" i="2"/>
  <c r="W919" i="2"/>
  <c r="W997" i="2"/>
  <c r="W981" i="2"/>
  <c r="W965" i="2"/>
  <c r="W949" i="2"/>
  <c r="W933" i="2"/>
  <c r="W993" i="2"/>
  <c r="W977" i="2"/>
  <c r="W961" i="2"/>
  <c r="W945" i="2"/>
  <c r="W929" i="2"/>
  <c r="W980" i="2"/>
  <c r="W960" i="2"/>
  <c r="W941" i="2"/>
  <c r="W922" i="2"/>
  <c r="W905" i="2"/>
  <c r="W889" i="2"/>
  <c r="W873" i="2"/>
  <c r="W857" i="2"/>
  <c r="W841" i="2"/>
  <c r="W825" i="2"/>
  <c r="W809" i="2"/>
  <c r="W793" i="2"/>
  <c r="W777" i="2"/>
  <c r="W761" i="2"/>
  <c r="W745" i="2"/>
  <c r="W729" i="2"/>
  <c r="W713" i="2"/>
  <c r="W697" i="2"/>
  <c r="W681" i="2"/>
  <c r="W665" i="2"/>
  <c r="W649" i="2"/>
  <c r="W633" i="2"/>
  <c r="W617" i="2"/>
  <c r="W601" i="2"/>
  <c r="W585" i="2"/>
  <c r="W569" i="2"/>
  <c r="W553" i="2"/>
  <c r="W537" i="2"/>
  <c r="W521" i="2"/>
  <c r="W505" i="2"/>
  <c r="W489" i="2"/>
  <c r="W473" i="2"/>
  <c r="W457" i="2"/>
  <c r="W441" i="2"/>
  <c r="W425" i="2"/>
  <c r="W409" i="2"/>
  <c r="W393" i="2"/>
  <c r="W377" i="2"/>
  <c r="W361" i="2"/>
  <c r="W345" i="2"/>
  <c r="W329" i="2"/>
  <c r="W313" i="2"/>
  <c r="W297" i="2"/>
  <c r="W281" i="2"/>
  <c r="W265" i="2"/>
  <c r="W249" i="2"/>
  <c r="W233" i="2"/>
  <c r="W217" i="2"/>
  <c r="W201" i="2"/>
  <c r="W185" i="2"/>
  <c r="W169" i="2"/>
  <c r="W153" i="2"/>
  <c r="W137" i="2"/>
  <c r="W121" i="2"/>
  <c r="W105" i="2"/>
  <c r="W89" i="2"/>
  <c r="W73" i="2"/>
  <c r="W57" i="2"/>
  <c r="W41" i="2"/>
  <c r="W25" i="2"/>
  <c r="W9" i="2"/>
  <c r="W992" i="2"/>
  <c r="W973" i="2"/>
  <c r="W954" i="2"/>
  <c r="W934" i="2"/>
  <c r="W915" i="2"/>
  <c r="W899" i="2"/>
  <c r="W883" i="2"/>
  <c r="W867" i="2"/>
  <c r="W851" i="2"/>
  <c r="W835" i="2"/>
  <c r="W819" i="2"/>
  <c r="W803" i="2"/>
  <c r="W787" i="2"/>
  <c r="W771" i="2"/>
  <c r="W755" i="2"/>
  <c r="W739" i="2"/>
  <c r="W723" i="2"/>
  <c r="W707" i="2"/>
  <c r="W691" i="2"/>
  <c r="W675" i="2"/>
  <c r="W659" i="2"/>
  <c r="W643" i="2"/>
  <c r="W627" i="2"/>
  <c r="W611" i="2"/>
  <c r="W595" i="2"/>
  <c r="W579" i="2"/>
  <c r="W563" i="2"/>
  <c r="W547" i="2"/>
  <c r="W531" i="2"/>
  <c r="W515" i="2"/>
  <c r="W499" i="2"/>
  <c r="W483" i="2"/>
  <c r="W467" i="2"/>
  <c r="W451" i="2"/>
  <c r="W435" i="2"/>
  <c r="W419" i="2"/>
  <c r="W403" i="2"/>
  <c r="W387" i="2"/>
  <c r="W371" i="2"/>
  <c r="W355" i="2"/>
  <c r="W339" i="2"/>
  <c r="W323" i="2"/>
  <c r="W307" i="2"/>
  <c r="W291" i="2"/>
  <c r="W275" i="2"/>
  <c r="W259" i="2"/>
  <c r="W243" i="2"/>
  <c r="W227" i="2"/>
  <c r="W989" i="2"/>
  <c r="W968" i="2"/>
  <c r="W944" i="2"/>
  <c r="W923" i="2"/>
  <c r="W903" i="2"/>
  <c r="W885" i="2"/>
  <c r="W866" i="2"/>
  <c r="W848" i="2"/>
  <c r="W830" i="2"/>
  <c r="W812" i="2"/>
  <c r="W794" i="2"/>
  <c r="W775" i="2"/>
  <c r="W757" i="2"/>
  <c r="W738" i="2"/>
  <c r="W720" i="2"/>
  <c r="W702" i="2"/>
  <c r="W684" i="2"/>
  <c r="W666" i="2"/>
  <c r="W647" i="2"/>
  <c r="W629" i="2"/>
  <c r="W610" i="2"/>
  <c r="W592" i="2"/>
  <c r="W574" i="2"/>
  <c r="W556" i="2"/>
  <c r="W538" i="2"/>
  <c r="W519" i="2"/>
  <c r="W501" i="2"/>
  <c r="W482" i="2"/>
  <c r="W464" i="2"/>
  <c r="W446" i="2"/>
  <c r="W428" i="2"/>
  <c r="W410" i="2"/>
  <c r="W391" i="2"/>
  <c r="W373" i="2"/>
  <c r="W354" i="2"/>
  <c r="W336" i="2"/>
  <c r="W318" i="2"/>
  <c r="W300" i="2"/>
  <c r="W282" i="2"/>
  <c r="W987" i="2"/>
  <c r="W964" i="2"/>
  <c r="W942" i="2"/>
  <c r="W920" i="2"/>
  <c r="W901" i="2"/>
  <c r="W882" i="2"/>
  <c r="W864" i="2"/>
  <c r="W846" i="2"/>
  <c r="W828" i="2"/>
  <c r="W810" i="2"/>
  <c r="W791" i="2"/>
  <c r="W773" i="2"/>
  <c r="W754" i="2"/>
  <c r="W736" i="2"/>
  <c r="W718" i="2"/>
  <c r="W700" i="2"/>
  <c r="W682" i="2"/>
  <c r="W663" i="2"/>
  <c r="W645" i="2"/>
  <c r="W626" i="2"/>
  <c r="W608" i="2"/>
  <c r="W590" i="2"/>
  <c r="W572" i="2"/>
  <c r="W554" i="2"/>
  <c r="W535" i="2"/>
  <c r="W517" i="2"/>
  <c r="W498" i="2"/>
  <c r="W480" i="2"/>
  <c r="W462" i="2"/>
  <c r="W444" i="2"/>
  <c r="W426" i="2"/>
  <c r="W407" i="2"/>
  <c r="W389" i="2"/>
  <c r="W370" i="2"/>
  <c r="W352" i="2"/>
  <c r="W986" i="2"/>
  <c r="W963" i="2"/>
  <c r="W940" i="2"/>
  <c r="W918" i="2"/>
  <c r="W900" i="2"/>
  <c r="W881" i="2"/>
  <c r="W863" i="2"/>
  <c r="W845" i="2"/>
  <c r="W827" i="2"/>
  <c r="W808" i="2"/>
  <c r="W790" i="2"/>
  <c r="W772" i="2"/>
  <c r="W753" i="2"/>
  <c r="W735" i="2"/>
  <c r="W717" i="2"/>
  <c r="W699" i="2"/>
  <c r="W680" i="2"/>
  <c r="W662" i="2"/>
  <c r="W644" i="2"/>
  <c r="W625" i="2"/>
  <c r="W607" i="2"/>
  <c r="W589" i="2"/>
  <c r="W571" i="2"/>
  <c r="W552" i="2"/>
  <c r="W534" i="2"/>
  <c r="W516" i="2"/>
  <c r="W497" i="2"/>
  <c r="W479" i="2"/>
  <c r="W461" i="2"/>
  <c r="W443" i="2"/>
  <c r="W424" i="2"/>
  <c r="W406" i="2"/>
  <c r="W388" i="2"/>
  <c r="W369" i="2"/>
  <c r="W351" i="2"/>
  <c r="W333" i="2"/>
  <c r="W315" i="2"/>
  <c r="W296" i="2"/>
  <c r="W278" i="2"/>
  <c r="W260" i="2"/>
  <c r="W241" i="2"/>
  <c r="W223" i="2"/>
  <c r="W982" i="2"/>
  <c r="W958" i="2"/>
  <c r="W937" i="2"/>
  <c r="W914" i="2"/>
  <c r="W896" i="2"/>
  <c r="W878" i="2"/>
  <c r="W860" i="2"/>
  <c r="W842" i="2"/>
  <c r="W823" i="2"/>
  <c r="W805" i="2"/>
  <c r="W786" i="2"/>
  <c r="W768" i="2"/>
  <c r="W750" i="2"/>
  <c r="W732" i="2"/>
  <c r="W714" i="2"/>
  <c r="W695" i="2"/>
  <c r="W677" i="2"/>
  <c r="W658" i="2"/>
  <c r="W640" i="2"/>
  <c r="W622" i="2"/>
  <c r="W604" i="2"/>
  <c r="W586" i="2"/>
  <c r="W567" i="2"/>
  <c r="W549" i="2"/>
  <c r="W530" i="2"/>
  <c r="W512" i="2"/>
  <c r="W494" i="2"/>
  <c r="W476" i="2"/>
  <c r="W458" i="2"/>
  <c r="W439" i="2"/>
  <c r="W421" i="2"/>
  <c r="W402" i="2"/>
  <c r="W384" i="2"/>
  <c r="W366" i="2"/>
  <c r="W995" i="2"/>
  <c r="W966" i="2"/>
  <c r="W932" i="2"/>
  <c r="W908" i="2"/>
  <c r="W884" i="2"/>
  <c r="W858" i="2"/>
  <c r="W834" i="2"/>
  <c r="W811" i="2"/>
  <c r="W784" i="2"/>
  <c r="W762" i="2"/>
  <c r="W737" i="2"/>
  <c r="W711" i="2"/>
  <c r="W688" i="2"/>
  <c r="W664" i="2"/>
  <c r="W638" i="2"/>
  <c r="W615" i="2"/>
  <c r="W591" i="2"/>
  <c r="W565" i="2"/>
  <c r="W542" i="2"/>
  <c r="W518" i="2"/>
  <c r="W492" i="2"/>
  <c r="W469" i="2"/>
  <c r="W445" i="2"/>
  <c r="W418" i="2"/>
  <c r="W396" i="2"/>
  <c r="W372" i="2"/>
  <c r="W347" i="2"/>
  <c r="W326" i="2"/>
  <c r="W305" i="2"/>
  <c r="W285" i="2"/>
  <c r="W264" i="2"/>
  <c r="W245" i="2"/>
  <c r="W225" i="2"/>
  <c r="W207" i="2"/>
  <c r="W190" i="2"/>
  <c r="W173" i="2"/>
  <c r="W156" i="2"/>
  <c r="W139" i="2"/>
  <c r="W122" i="2"/>
  <c r="W104" i="2"/>
  <c r="W87" i="2"/>
  <c r="W70" i="2"/>
  <c r="W53" i="2"/>
  <c r="W36" i="2"/>
  <c r="W19" i="2"/>
  <c r="W991" i="2"/>
  <c r="W959" i="2"/>
  <c r="W930" i="2"/>
  <c r="W906" i="2"/>
  <c r="W879" i="2"/>
  <c r="W855" i="2"/>
  <c r="W832" i="2"/>
  <c r="W806" i="2"/>
  <c r="W782" i="2"/>
  <c r="W759" i="2"/>
  <c r="W733" i="2"/>
  <c r="W709" i="2"/>
  <c r="W686" i="2"/>
  <c r="W660" i="2"/>
  <c r="W636" i="2"/>
  <c r="W613" i="2"/>
  <c r="W587" i="2"/>
  <c r="W562" i="2"/>
  <c r="W540" i="2"/>
  <c r="W513" i="2"/>
  <c r="W490" i="2"/>
  <c r="W466" i="2"/>
  <c r="W440" i="2"/>
  <c r="W416" i="2"/>
  <c r="W394" i="2"/>
  <c r="W367" i="2"/>
  <c r="W344" i="2"/>
  <c r="W324" i="2"/>
  <c r="W303" i="2"/>
  <c r="W283" i="2"/>
  <c r="W262" i="2"/>
  <c r="W242" i="2"/>
  <c r="W222" i="2"/>
  <c r="W205" i="2"/>
  <c r="W188" i="2"/>
  <c r="W171" i="2"/>
  <c r="W154" i="2"/>
  <c r="W136" i="2"/>
  <c r="W119" i="2"/>
  <c r="W102" i="2"/>
  <c r="W85" i="2"/>
  <c r="W68" i="2"/>
  <c r="W51" i="2"/>
  <c r="W34" i="2"/>
  <c r="W17" i="2"/>
  <c r="W990" i="2"/>
  <c r="W957" i="2"/>
  <c r="W928" i="2"/>
  <c r="W904" i="2"/>
  <c r="W877" i="2"/>
  <c r="W854" i="2"/>
  <c r="W831" i="2"/>
  <c r="W804" i="2"/>
  <c r="W781" i="2"/>
  <c r="W758" i="2"/>
  <c r="W731" i="2"/>
  <c r="W708" i="2"/>
  <c r="W685" i="2"/>
  <c r="W657" i="2"/>
  <c r="W635" i="2"/>
  <c r="W612" i="2"/>
  <c r="W584" i="2"/>
  <c r="W561" i="2"/>
  <c r="W539" i="2"/>
  <c r="W511" i="2"/>
  <c r="W488" i="2"/>
  <c r="W971" i="2"/>
  <c r="W931" i="2"/>
  <c r="W897" i="2"/>
  <c r="W870" i="2"/>
  <c r="W839" i="2"/>
  <c r="W813" i="2"/>
  <c r="W779" i="2"/>
  <c r="W748" i="2"/>
  <c r="W721" i="2"/>
  <c r="W690" i="2"/>
  <c r="W656" i="2"/>
  <c r="W630" i="2"/>
  <c r="W599" i="2"/>
  <c r="W570" i="2"/>
  <c r="W541" i="2"/>
  <c r="W508" i="2"/>
  <c r="W478" i="2"/>
  <c r="W452" i="2"/>
  <c r="W423" i="2"/>
  <c r="W397" i="2"/>
  <c r="W365" i="2"/>
  <c r="W341" i="2"/>
  <c r="W317" i="2"/>
  <c r="W293" i="2"/>
  <c r="W270" i="2"/>
  <c r="W248" i="2"/>
  <c r="W226" i="2"/>
  <c r="W204" i="2"/>
  <c r="W184" i="2"/>
  <c r="W165" i="2"/>
  <c r="W146" i="2"/>
  <c r="W127" i="2"/>
  <c r="W108" i="2"/>
  <c r="W88" i="2"/>
  <c r="W67" i="2"/>
  <c r="W48" i="2"/>
  <c r="W29" i="2"/>
  <c r="W10" i="2"/>
  <c r="W970" i="2"/>
  <c r="W927" i="2"/>
  <c r="W895" i="2"/>
  <c r="W869" i="2"/>
  <c r="W838" i="2"/>
  <c r="W807" i="2"/>
  <c r="W778" i="2"/>
  <c r="W747" i="2"/>
  <c r="W719" i="2"/>
  <c r="W689" i="2"/>
  <c r="W655" i="2"/>
  <c r="W628" i="2"/>
  <c r="W598" i="2"/>
  <c r="W568" i="2"/>
  <c r="W536" i="2"/>
  <c r="W507" i="2"/>
  <c r="W477" i="2"/>
  <c r="W450" i="2"/>
  <c r="W422" i="2"/>
  <c r="W395" i="2"/>
  <c r="W364" i="2"/>
  <c r="W340" i="2"/>
  <c r="W316" i="2"/>
  <c r="W292" i="2"/>
  <c r="W269" i="2"/>
  <c r="W247" i="2"/>
  <c r="W224" i="2"/>
  <c r="W203" i="2"/>
  <c r="W183" i="2"/>
  <c r="W164" i="2"/>
  <c r="W145" i="2"/>
  <c r="W126" i="2"/>
  <c r="W107" i="2"/>
  <c r="W86" i="2"/>
  <c r="W66" i="2"/>
  <c r="W47" i="2"/>
  <c r="W28" i="2"/>
  <c r="W8" i="2"/>
  <c r="W1000" i="2"/>
  <c r="W962" i="2"/>
  <c r="W925" i="2"/>
  <c r="W893" i="2"/>
  <c r="W865" i="2"/>
  <c r="W836" i="2"/>
  <c r="W801" i="2"/>
  <c r="W774" i="2"/>
  <c r="W744" i="2"/>
  <c r="W715" i="2"/>
  <c r="W683" i="2"/>
  <c r="W653" i="2"/>
  <c r="W623" i="2"/>
  <c r="W596" i="2"/>
  <c r="W564" i="2"/>
  <c r="W532" i="2"/>
  <c r="W504" i="2"/>
  <c r="W474" i="2"/>
  <c r="W448" i="2"/>
  <c r="W417" i="2"/>
  <c r="W390" i="2"/>
  <c r="W362" i="2"/>
  <c r="W337" i="2"/>
  <c r="W312" i="2"/>
  <c r="W289" i="2"/>
  <c r="W267" i="2"/>
  <c r="W244" i="2"/>
  <c r="W220" i="2"/>
  <c r="W200" i="2"/>
  <c r="W181" i="2"/>
  <c r="W162" i="2"/>
  <c r="W143" i="2"/>
  <c r="W124" i="2"/>
  <c r="W103" i="2"/>
  <c r="W83" i="2"/>
  <c r="W64" i="2"/>
  <c r="W45" i="2"/>
  <c r="W26" i="2"/>
  <c r="W6" i="2"/>
  <c r="W998" i="2"/>
  <c r="W956" i="2"/>
  <c r="W924" i="2"/>
  <c r="W892" i="2"/>
  <c r="W862" i="2"/>
  <c r="W833" i="2"/>
  <c r="W800" i="2"/>
  <c r="W770" i="2"/>
  <c r="W743" i="2"/>
  <c r="W712" i="2"/>
  <c r="W679" i="2"/>
  <c r="W652" i="2"/>
  <c r="W621" i="2"/>
  <c r="W594" i="2"/>
  <c r="W560" i="2"/>
  <c r="W529" i="2"/>
  <c r="W503" i="2"/>
  <c r="W472" i="2"/>
  <c r="W447" i="2"/>
  <c r="W415" i="2"/>
  <c r="W386" i="2"/>
  <c r="W360" i="2"/>
  <c r="W335" i="2"/>
  <c r="W311" i="2"/>
  <c r="W994" i="2"/>
  <c r="W953" i="2"/>
  <c r="W917" i="2"/>
  <c r="W890" i="2"/>
  <c r="W859" i="2"/>
  <c r="W826" i="2"/>
  <c r="W798" i="2"/>
  <c r="W767" i="2"/>
  <c r="W741" i="2"/>
  <c r="W706" i="2"/>
  <c r="W676" i="2"/>
  <c r="W650" i="2"/>
  <c r="W619" i="2"/>
  <c r="W588" i="2"/>
  <c r="W558" i="2"/>
  <c r="W527" i="2"/>
  <c r="W500" i="2"/>
  <c r="W470" i="2"/>
  <c r="W438" i="2"/>
  <c r="W413" i="2"/>
  <c r="W383" i="2"/>
  <c r="W358" i="2"/>
  <c r="W332" i="2"/>
  <c r="W309" i="2"/>
  <c r="W286" i="2"/>
  <c r="W261" i="2"/>
  <c r="W238" i="2"/>
  <c r="W216" i="2"/>
  <c r="W197" i="2"/>
  <c r="W178" i="2"/>
  <c r="W159" i="2"/>
  <c r="W140" i="2"/>
  <c r="W118" i="2"/>
  <c r="W99" i="2"/>
  <c r="W80" i="2"/>
  <c r="W61" i="2"/>
  <c r="W42" i="2"/>
  <c r="W22" i="2"/>
  <c r="W3" i="2"/>
  <c r="W996" i="2"/>
  <c r="W946" i="2"/>
  <c r="W894" i="2"/>
  <c r="W850" i="2"/>
  <c r="W814" i="2"/>
  <c r="W764" i="2"/>
  <c r="W724" i="2"/>
  <c r="W673" i="2"/>
  <c r="W634" i="2"/>
  <c r="W583" i="2"/>
  <c r="W546" i="2"/>
  <c r="W502" i="2"/>
  <c r="W459" i="2"/>
  <c r="W420" i="2"/>
  <c r="W379" i="2"/>
  <c r="W342" i="2"/>
  <c r="W304" i="2"/>
  <c r="W273" i="2"/>
  <c r="W240" i="2"/>
  <c r="W213" i="2"/>
  <c r="W189" i="2"/>
  <c r="W161" i="2"/>
  <c r="W134" i="2"/>
  <c r="W111" i="2"/>
  <c r="W82" i="2"/>
  <c r="W58" i="2"/>
  <c r="W32" i="2"/>
  <c r="W5" i="2"/>
  <c r="W988" i="2"/>
  <c r="W943" i="2"/>
  <c r="W891" i="2"/>
  <c r="W849" i="2"/>
  <c r="W802" i="2"/>
  <c r="W763" i="2"/>
  <c r="W722" i="2"/>
  <c r="W672" i="2"/>
  <c r="W632" i="2"/>
  <c r="W582" i="2"/>
  <c r="W545" i="2"/>
  <c r="W496" i="2"/>
  <c r="W456" i="2"/>
  <c r="W414" i="2"/>
  <c r="W378" i="2"/>
  <c r="W338" i="2"/>
  <c r="W302" i="2"/>
  <c r="W272" i="2"/>
  <c r="W239" i="2"/>
  <c r="W212" i="2"/>
  <c r="W187" i="2"/>
  <c r="W160" i="2"/>
  <c r="W133" i="2"/>
  <c r="W110" i="2"/>
  <c r="W81" i="2"/>
  <c r="W56" i="2"/>
  <c r="W31" i="2"/>
  <c r="W4" i="2"/>
  <c r="W985" i="2"/>
  <c r="W939" i="2"/>
  <c r="W888" i="2"/>
  <c r="W847" i="2"/>
  <c r="W799" i="2"/>
  <c r="W760" i="2"/>
  <c r="W716" i="2"/>
  <c r="W671" i="2"/>
  <c r="W631" i="2"/>
  <c r="W581" i="2"/>
  <c r="W544" i="2"/>
  <c r="W495" i="2"/>
  <c r="W455" i="2"/>
  <c r="W412" i="2"/>
  <c r="W376" i="2"/>
  <c r="W334" i="2"/>
  <c r="W301" i="2"/>
  <c r="W271" i="2"/>
  <c r="W237" i="2"/>
  <c r="W211" i="2"/>
  <c r="W186" i="2"/>
  <c r="W158" i="2"/>
  <c r="W132" i="2"/>
  <c r="W109" i="2"/>
  <c r="W79" i="2"/>
  <c r="W55" i="2"/>
  <c r="W30" i="2"/>
  <c r="W2" i="2"/>
  <c r="W984" i="2"/>
  <c r="W938" i="2"/>
  <c r="W887" i="2"/>
  <c r="W844" i="2"/>
  <c r="W797" i="2"/>
  <c r="W756" i="2"/>
  <c r="W710" i="2"/>
  <c r="W670" i="2"/>
  <c r="W624" i="2"/>
  <c r="W580" i="2"/>
  <c r="W543" i="2"/>
  <c r="W493" i="2"/>
  <c r="W454" i="2"/>
  <c r="W411" i="2"/>
  <c r="W375" i="2"/>
  <c r="W331" i="2"/>
  <c r="W299" i="2"/>
  <c r="W268" i="2"/>
  <c r="W236" i="2"/>
  <c r="W210" i="2"/>
  <c r="W182" i="2"/>
  <c r="W157" i="2"/>
  <c r="W131" i="2"/>
  <c r="W106" i="2"/>
  <c r="W78" i="2"/>
  <c r="W54" i="2"/>
  <c r="W27" i="2"/>
  <c r="W979" i="2"/>
  <c r="W936" i="2"/>
  <c r="W886" i="2"/>
  <c r="W843" i="2"/>
  <c r="W796" i="2"/>
  <c r="W752" i="2"/>
  <c r="W705" i="2"/>
  <c r="W669" i="2"/>
  <c r="W620" i="2"/>
  <c r="W578" i="2"/>
  <c r="W533" i="2"/>
  <c r="W491" i="2"/>
  <c r="W453" i="2"/>
  <c r="W408" i="2"/>
  <c r="W374" i="2"/>
  <c r="W330" i="2"/>
  <c r="W298" i="2"/>
  <c r="W266" i="2"/>
  <c r="W235" i="2"/>
  <c r="W209" i="2"/>
  <c r="W180" i="2"/>
  <c r="W155" i="2"/>
  <c r="W130" i="2"/>
  <c r="W101" i="2"/>
  <c r="W77" i="2"/>
  <c r="W52" i="2"/>
  <c r="W24" i="2"/>
  <c r="W976" i="2"/>
  <c r="W921" i="2"/>
  <c r="W876" i="2"/>
  <c r="W837" i="2"/>
  <c r="W792" i="2"/>
  <c r="W749" i="2"/>
  <c r="W703" i="2"/>
  <c r="W667" i="2"/>
  <c r="W616" i="2"/>
  <c r="W576" i="2"/>
  <c r="W526" i="2"/>
  <c r="W486" i="2"/>
  <c r="W442" i="2"/>
  <c r="W404" i="2"/>
  <c r="W363" i="2"/>
  <c r="W327" i="2"/>
  <c r="W294" i="2"/>
  <c r="W258" i="2"/>
  <c r="W232" i="2"/>
  <c r="W206" i="2"/>
  <c r="W177" i="2"/>
  <c r="W151" i="2"/>
  <c r="W128" i="2"/>
  <c r="W98" i="2"/>
  <c r="W75" i="2"/>
  <c r="W49" i="2"/>
  <c r="W21" i="2"/>
  <c r="W926" i="2"/>
  <c r="W861" i="2"/>
  <c r="W788" i="2"/>
  <c r="W726" i="2"/>
  <c r="W648" i="2"/>
  <c r="W577" i="2"/>
  <c r="W514" i="2"/>
  <c r="W436" i="2"/>
  <c r="W381" i="2"/>
  <c r="W320" i="2"/>
  <c r="W263" i="2"/>
  <c r="W219" i="2"/>
  <c r="W175" i="2"/>
  <c r="W138" i="2"/>
  <c r="W94" i="2"/>
  <c r="W50" i="2"/>
  <c r="W13" i="2"/>
  <c r="W916" i="2"/>
  <c r="W856" i="2"/>
  <c r="W785" i="2"/>
  <c r="W725" i="2"/>
  <c r="W646" i="2"/>
  <c r="W575" i="2"/>
  <c r="W510" i="2"/>
  <c r="W434" i="2"/>
  <c r="W380" i="2"/>
  <c r="W319" i="2"/>
  <c r="W257" i="2"/>
  <c r="W218" i="2"/>
  <c r="W174" i="2"/>
  <c r="W135" i="2"/>
  <c r="W93" i="2"/>
  <c r="W46" i="2"/>
  <c r="W12" i="2"/>
  <c r="W913" i="2"/>
  <c r="W853" i="2"/>
  <c r="W783" i="2"/>
  <c r="W704" i="2"/>
  <c r="W642" i="2"/>
  <c r="W573" i="2"/>
  <c r="W509" i="2"/>
  <c r="W433" i="2"/>
  <c r="W368" i="2"/>
  <c r="W314" i="2"/>
  <c r="W256" i="2"/>
  <c r="W215" i="2"/>
  <c r="W172" i="2"/>
  <c r="W129" i="2"/>
  <c r="W92" i="2"/>
  <c r="W44" i="2"/>
  <c r="W11" i="2"/>
  <c r="W912" i="2"/>
  <c r="W852" i="2"/>
  <c r="W780" i="2"/>
  <c r="W701" i="2"/>
  <c r="W641" i="2"/>
  <c r="W566" i="2"/>
  <c r="W506" i="2"/>
  <c r="W432" i="2"/>
  <c r="W359" i="2"/>
  <c r="W310" i="2"/>
  <c r="W255" i="2"/>
  <c r="W214" i="2"/>
  <c r="W170" i="2"/>
  <c r="W125" i="2"/>
  <c r="W91" i="2"/>
  <c r="W43" i="2"/>
  <c r="W7" i="2"/>
  <c r="W911" i="2"/>
  <c r="W840" i="2"/>
  <c r="W776" i="2"/>
  <c r="W698" i="2"/>
  <c r="W639" i="2"/>
  <c r="W559" i="2"/>
  <c r="W487" i="2"/>
  <c r="W431" i="2"/>
  <c r="W357" i="2"/>
  <c r="W308" i="2"/>
  <c r="W254" i="2"/>
  <c r="W208" i="2"/>
  <c r="W168" i="2"/>
  <c r="W123" i="2"/>
  <c r="W90" i="2"/>
  <c r="W40" i="2"/>
  <c r="W910" i="2"/>
  <c r="W829" i="2"/>
  <c r="W769" i="2"/>
  <c r="W696" i="2"/>
  <c r="W637" i="2"/>
  <c r="W557" i="2"/>
  <c r="W485" i="2"/>
  <c r="W430" i="2"/>
  <c r="W356" i="2"/>
  <c r="W306" i="2"/>
  <c r="W253" i="2"/>
  <c r="W202" i="2"/>
  <c r="W167" i="2"/>
  <c r="W120" i="2"/>
  <c r="W84" i="2"/>
  <c r="W39" i="2"/>
  <c r="W978" i="2"/>
  <c r="W909" i="2"/>
  <c r="W824" i="2"/>
  <c r="W766" i="2"/>
  <c r="W694" i="2"/>
  <c r="W618" i="2"/>
  <c r="W555" i="2"/>
  <c r="W484" i="2"/>
  <c r="W429" i="2"/>
  <c r="W353" i="2"/>
  <c r="W295" i="2"/>
  <c r="W252" i="2"/>
  <c r="W199" i="2"/>
  <c r="W166" i="2"/>
  <c r="W117" i="2"/>
  <c r="W76" i="2"/>
  <c r="W38" i="2"/>
  <c r="W972" i="2"/>
  <c r="W822" i="2"/>
  <c r="W728" i="2"/>
  <c r="W602" i="2"/>
  <c r="W468" i="2"/>
  <c r="W349" i="2"/>
  <c r="W274" i="2"/>
  <c r="W191" i="2"/>
  <c r="W112" i="2"/>
  <c r="W33" i="2"/>
  <c r="W969" i="2"/>
  <c r="W821" i="2"/>
  <c r="W727" i="2"/>
  <c r="W600" i="2"/>
  <c r="W465" i="2"/>
  <c r="W348" i="2"/>
  <c r="W251" i="2"/>
  <c r="W179" i="2"/>
  <c r="W100" i="2"/>
  <c r="W23" i="2"/>
  <c r="W955" i="2"/>
  <c r="W820" i="2"/>
  <c r="W693" i="2"/>
  <c r="W597" i="2"/>
  <c r="W463" i="2"/>
  <c r="W346" i="2"/>
  <c r="W250" i="2"/>
  <c r="W176" i="2"/>
  <c r="W97" i="2"/>
  <c r="W20" i="2"/>
  <c r="W952" i="2"/>
  <c r="W818" i="2"/>
  <c r="W692" i="2"/>
  <c r="W593" i="2"/>
  <c r="W460" i="2"/>
  <c r="W343" i="2"/>
  <c r="W246" i="2"/>
  <c r="W163" i="2"/>
  <c r="W96" i="2"/>
  <c r="W18" i="2"/>
  <c r="W950" i="2"/>
  <c r="W817" i="2"/>
  <c r="W687" i="2"/>
  <c r="W551" i="2"/>
  <c r="W449" i="2"/>
  <c r="W328" i="2"/>
  <c r="W234" i="2"/>
  <c r="W152" i="2"/>
  <c r="W95" i="2"/>
  <c r="W16" i="2"/>
  <c r="W948" i="2"/>
  <c r="W816" i="2"/>
  <c r="W678" i="2"/>
  <c r="W550" i="2"/>
  <c r="W437" i="2"/>
  <c r="W325" i="2"/>
  <c r="W231" i="2"/>
  <c r="W150" i="2"/>
  <c r="W74" i="2"/>
  <c r="W15" i="2"/>
  <c r="W947" i="2"/>
  <c r="W815" i="2"/>
  <c r="W674" i="2"/>
  <c r="W548" i="2"/>
  <c r="W427" i="2"/>
  <c r="W322" i="2"/>
  <c r="W230" i="2"/>
  <c r="W149" i="2"/>
  <c r="W72" i="2"/>
  <c r="W14" i="2"/>
  <c r="W907" i="2"/>
  <c r="W795" i="2"/>
  <c r="W668" i="2"/>
  <c r="W528" i="2"/>
  <c r="W405" i="2"/>
  <c r="W321" i="2"/>
  <c r="W229" i="2"/>
  <c r="W148" i="2"/>
  <c r="W71" i="2"/>
  <c r="W902" i="2"/>
  <c r="W789" i="2"/>
  <c r="W661" i="2"/>
  <c r="W525" i="2"/>
  <c r="W401" i="2"/>
  <c r="W290" i="2"/>
  <c r="W228" i="2"/>
  <c r="W147" i="2"/>
  <c r="W69" i="2"/>
  <c r="W898" i="2"/>
  <c r="W765" i="2"/>
  <c r="W654" i="2"/>
  <c r="W524" i="2"/>
  <c r="W400" i="2"/>
  <c r="W288" i="2"/>
  <c r="W221" i="2"/>
  <c r="W144" i="2"/>
  <c r="W65" i="2"/>
  <c r="W880" i="2"/>
  <c r="W751" i="2"/>
  <c r="W651" i="2"/>
  <c r="W523" i="2"/>
  <c r="W399" i="2"/>
  <c r="W287" i="2"/>
  <c r="W198" i="2"/>
  <c r="W142" i="2"/>
  <c r="W63" i="2"/>
  <c r="W740" i="2"/>
  <c r="W382" i="2"/>
  <c r="W113" i="2"/>
  <c r="W734" i="2"/>
  <c r="W350" i="2"/>
  <c r="W62" i="2"/>
  <c r="W730" i="2"/>
  <c r="W284" i="2"/>
  <c r="W60" i="2"/>
  <c r="W614" i="2"/>
  <c r="W280" i="2"/>
  <c r="W59" i="2"/>
  <c r="W609" i="2"/>
  <c r="W279" i="2"/>
  <c r="W37" i="2"/>
  <c r="W606" i="2"/>
  <c r="W277" i="2"/>
  <c r="W35" i="2"/>
  <c r="W605" i="2"/>
  <c r="W276" i="2"/>
  <c r="W975" i="2"/>
  <c r="W603" i="2"/>
  <c r="W196" i="2"/>
  <c r="W974" i="2"/>
  <c r="W522" i="2"/>
  <c r="W195" i="2"/>
  <c r="W115" i="2"/>
  <c r="W875" i="2"/>
  <c r="W520" i="2"/>
  <c r="W194" i="2"/>
  <c r="W874" i="2"/>
  <c r="W481" i="2"/>
  <c r="W193" i="2"/>
  <c r="W872" i="2"/>
  <c r="W475" i="2"/>
  <c r="W192" i="2"/>
  <c r="W871" i="2"/>
  <c r="W471" i="2"/>
  <c r="W141" i="2"/>
  <c r="W868" i="2"/>
  <c r="W398" i="2"/>
  <c r="W116" i="2"/>
  <c r="W746" i="2"/>
  <c r="W392" i="2"/>
  <c r="W742" i="2"/>
  <c r="W385" i="2"/>
  <c r="W114" i="2"/>
</calcChain>
</file>

<file path=xl/sharedStrings.xml><?xml version="1.0" encoding="utf-8"?>
<sst xmlns="http://schemas.openxmlformats.org/spreadsheetml/2006/main" count="7046" uniqueCount="747">
  <si>
    <t>No.</t>
  </si>
  <si>
    <t>メギド名</t>
  </si>
  <si>
    <t>入手手段</t>
  </si>
  <si>
    <t>スタイル</t>
  </si>
  <si>
    <t>クラス</t>
  </si>
  <si>
    <t>攻撃回数(シフト後も含む）</t>
  </si>
  <si>
    <t>飛行している</t>
  </si>
  <si>
    <t>身長</t>
  </si>
  <si>
    <t>性別</t>
  </si>
  <si>
    <t>年齢</t>
  </si>
  <si>
    <t>誕生日/転生日</t>
  </si>
  <si>
    <t>内部属性</t>
  </si>
  <si>
    <t>祖01</t>
  </si>
  <si>
    <t>バエル</t>
  </si>
  <si>
    <t>メイン</t>
  </si>
  <si>
    <t>バースト</t>
  </si>
  <si>
    <t>スナイパー</t>
  </si>
  <si>
    <t>男性</t>
  </si>
  <si>
    <t>雷</t>
  </si>
  <si>
    <t>バエルC</t>
  </si>
  <si>
    <t>召喚</t>
  </si>
  <si>
    <t>カウンター</t>
  </si>
  <si>
    <t>祖02</t>
  </si>
  <si>
    <t>アガレスC</t>
  </si>
  <si>
    <t>イベント</t>
  </si>
  <si>
    <t>地</t>
  </si>
  <si>
    <t>アガレス</t>
  </si>
  <si>
    <t>祖03</t>
  </si>
  <si>
    <t>ウァサゴB</t>
  </si>
  <si>
    <t>ファイター</t>
  </si>
  <si>
    <t>女性</t>
  </si>
  <si>
    <t>ウァサゴ</t>
  </si>
  <si>
    <t>ラッシュ</t>
  </si>
  <si>
    <t>祖04</t>
  </si>
  <si>
    <t>ガミジンB</t>
  </si>
  <si>
    <t>ガミジン</t>
  </si>
  <si>
    <t>祖05</t>
  </si>
  <si>
    <t>マルバスR</t>
  </si>
  <si>
    <t>マルバス</t>
  </si>
  <si>
    <t>祖06</t>
  </si>
  <si>
    <t>ウァレフォルC</t>
  </si>
  <si>
    <t>ウァレフォル</t>
  </si>
  <si>
    <t>祖07</t>
  </si>
  <si>
    <t>アモンR</t>
  </si>
  <si>
    <t>火</t>
  </si>
  <si>
    <t>アモン</t>
  </si>
  <si>
    <t>祖08</t>
  </si>
  <si>
    <t>バルバトスR</t>
  </si>
  <si>
    <t>風</t>
  </si>
  <si>
    <t>バルバトス</t>
  </si>
  <si>
    <t>祖09</t>
  </si>
  <si>
    <t>パイモンB</t>
  </si>
  <si>
    <t>水</t>
  </si>
  <si>
    <t>パイモン</t>
  </si>
  <si>
    <t>祖10</t>
  </si>
  <si>
    <t>ブエルR</t>
  </si>
  <si>
    <t>ブエル</t>
  </si>
  <si>
    <t>祖11</t>
  </si>
  <si>
    <t>グシオンB</t>
  </si>
  <si>
    <t>グシオン</t>
  </si>
  <si>
    <t>祖12</t>
  </si>
  <si>
    <t>シトリーR</t>
  </si>
  <si>
    <t>トルーパー</t>
  </si>
  <si>
    <t>シトリー</t>
  </si>
  <si>
    <t>祖13</t>
  </si>
  <si>
    <t>ベレトB</t>
  </si>
  <si>
    <t>氷</t>
  </si>
  <si>
    <t>ベレト</t>
  </si>
  <si>
    <t>祖14</t>
  </si>
  <si>
    <t>レラジェR</t>
  </si>
  <si>
    <t>レラジェ</t>
  </si>
  <si>
    <t>祖15</t>
  </si>
  <si>
    <t>エリゴスB</t>
  </si>
  <si>
    <t>エリゴス</t>
  </si>
  <si>
    <t>祖16</t>
  </si>
  <si>
    <t>ゼパルC</t>
  </si>
  <si>
    <t>ゼパル</t>
  </si>
  <si>
    <t>祖17</t>
  </si>
  <si>
    <t>ボティスR</t>
  </si>
  <si>
    <t>ボティス</t>
  </si>
  <si>
    <t>祖18</t>
  </si>
  <si>
    <t>バティンB</t>
  </si>
  <si>
    <t>バティン</t>
  </si>
  <si>
    <t>祖19</t>
  </si>
  <si>
    <t>サレオスC</t>
  </si>
  <si>
    <t>サレオス</t>
  </si>
  <si>
    <t>祖20</t>
  </si>
  <si>
    <t>プルソンB</t>
  </si>
  <si>
    <t>プルソン</t>
  </si>
  <si>
    <t>祖21</t>
  </si>
  <si>
    <t>モラクスR</t>
  </si>
  <si>
    <t>モラクス</t>
  </si>
  <si>
    <t>祖22</t>
  </si>
  <si>
    <t>イポスC</t>
  </si>
  <si>
    <t>イポス</t>
  </si>
  <si>
    <t>祖23</t>
  </si>
  <si>
    <t>アイムR</t>
  </si>
  <si>
    <t>アイム</t>
  </si>
  <si>
    <t>祖24</t>
  </si>
  <si>
    <t>ナベリウスB</t>
  </si>
  <si>
    <t>ナベリウス</t>
  </si>
  <si>
    <t>祖25</t>
  </si>
  <si>
    <t>グラシャラボラスC</t>
  </si>
  <si>
    <t>グラシャラボラス</t>
  </si>
  <si>
    <t>祖26</t>
  </si>
  <si>
    <t>ブネB</t>
  </si>
  <si>
    <t>ブネ</t>
  </si>
  <si>
    <t>祖27</t>
  </si>
  <si>
    <t>ロノウェR</t>
  </si>
  <si>
    <t>ロノウェ</t>
  </si>
  <si>
    <t>祖28</t>
  </si>
  <si>
    <t>ベリトB</t>
  </si>
  <si>
    <t>ベリト</t>
  </si>
  <si>
    <t>祖29</t>
  </si>
  <si>
    <t>アスタロトB</t>
  </si>
  <si>
    <t>アスタロト</t>
  </si>
  <si>
    <t>祖30</t>
  </si>
  <si>
    <t>フォルネウスB</t>
  </si>
  <si>
    <t>フォルネウス</t>
  </si>
  <si>
    <t>祖31</t>
  </si>
  <si>
    <t>フォラスC</t>
  </si>
  <si>
    <t>フォラス</t>
  </si>
  <si>
    <t>祖32</t>
  </si>
  <si>
    <t>アスモデウスR</t>
  </si>
  <si>
    <t>特異限定</t>
  </si>
  <si>
    <t>アスモデウス</t>
  </si>
  <si>
    <t>祖33</t>
  </si>
  <si>
    <t>ガープR</t>
  </si>
  <si>
    <t>ガープ</t>
  </si>
  <si>
    <t>祖34</t>
  </si>
  <si>
    <t>フルフルC</t>
  </si>
  <si>
    <t>フルフル</t>
  </si>
  <si>
    <t>祖35</t>
  </si>
  <si>
    <t>マルコシアスB</t>
  </si>
  <si>
    <t>マルコシアス</t>
  </si>
  <si>
    <t>祖36</t>
  </si>
  <si>
    <t>ストラスR</t>
  </si>
  <si>
    <t>ストラス</t>
  </si>
  <si>
    <t>祖37</t>
  </si>
  <si>
    <t>フェニックスC</t>
  </si>
  <si>
    <t>フェニックス</t>
  </si>
  <si>
    <t>祖38</t>
  </si>
  <si>
    <t>ハルファスR</t>
  </si>
  <si>
    <t>ハルファス</t>
  </si>
  <si>
    <t>祖39</t>
  </si>
  <si>
    <t>マルファスB</t>
  </si>
  <si>
    <t>飛行</t>
  </si>
  <si>
    <t>マルファス</t>
  </si>
  <si>
    <t>祖40</t>
  </si>
  <si>
    <t>ラウムC</t>
  </si>
  <si>
    <t>ラウム</t>
  </si>
  <si>
    <t>祖41</t>
  </si>
  <si>
    <t>フォカロルR</t>
  </si>
  <si>
    <t>フォカロル</t>
  </si>
  <si>
    <t>祖42</t>
  </si>
  <si>
    <t>ウェパルB</t>
  </si>
  <si>
    <t>ウェパル</t>
  </si>
  <si>
    <t>祖43</t>
  </si>
  <si>
    <t>サブナックB</t>
  </si>
  <si>
    <t>サブナック</t>
  </si>
  <si>
    <t>祖44</t>
  </si>
  <si>
    <t>シャックスB</t>
  </si>
  <si>
    <t>シャックス</t>
  </si>
  <si>
    <t>祖45</t>
  </si>
  <si>
    <t>ヴィネR</t>
  </si>
  <si>
    <t>ヴィネ</t>
  </si>
  <si>
    <t>祖46</t>
  </si>
  <si>
    <t>ビフロンスC</t>
  </si>
  <si>
    <t>ビフロンス</t>
  </si>
  <si>
    <t>祖47</t>
  </si>
  <si>
    <t>ウヴァルC</t>
  </si>
  <si>
    <t>ウヴァル</t>
  </si>
  <si>
    <t>祖48</t>
  </si>
  <si>
    <t>ハーゲンティB</t>
  </si>
  <si>
    <t>ハーゲンティ</t>
  </si>
  <si>
    <t>祖49</t>
  </si>
  <si>
    <t>クロケルR</t>
  </si>
  <si>
    <t>クロケル</t>
  </si>
  <si>
    <t>祖50</t>
  </si>
  <si>
    <t>フルカスC</t>
  </si>
  <si>
    <t>フルカス</t>
  </si>
  <si>
    <t>祖51</t>
  </si>
  <si>
    <t>バラムR</t>
  </si>
  <si>
    <t>バラム</t>
  </si>
  <si>
    <t>祖52</t>
  </si>
  <si>
    <t>アロケルR</t>
  </si>
  <si>
    <t>アロケル</t>
  </si>
  <si>
    <t>祖53</t>
  </si>
  <si>
    <t>カイムB</t>
  </si>
  <si>
    <t>カイム</t>
  </si>
  <si>
    <t>祖54</t>
  </si>
  <si>
    <t>ムルムルC</t>
  </si>
  <si>
    <t>ムルムル</t>
  </si>
  <si>
    <t>祖55</t>
  </si>
  <si>
    <t>オロバスC</t>
  </si>
  <si>
    <t>オロバス</t>
  </si>
  <si>
    <t>祖56</t>
  </si>
  <si>
    <t>グレモリーR</t>
  </si>
  <si>
    <t>グレモリー</t>
  </si>
  <si>
    <t>祖57</t>
  </si>
  <si>
    <t>オセC</t>
  </si>
  <si>
    <t>オセ</t>
  </si>
  <si>
    <t>祖58</t>
  </si>
  <si>
    <t>アミーC</t>
  </si>
  <si>
    <t>アミー</t>
  </si>
  <si>
    <t>祖59</t>
  </si>
  <si>
    <t>オリアスC</t>
  </si>
  <si>
    <t>オリアス</t>
  </si>
  <si>
    <t>祖60</t>
  </si>
  <si>
    <t>ウァプラR</t>
  </si>
  <si>
    <t>ウァプラ</t>
  </si>
  <si>
    <t>祖61</t>
  </si>
  <si>
    <t>ザガンR</t>
  </si>
  <si>
    <t>ザガン</t>
  </si>
  <si>
    <t>祖62</t>
  </si>
  <si>
    <t>ウァラクC</t>
  </si>
  <si>
    <t>ウァラク</t>
  </si>
  <si>
    <t>祖63</t>
  </si>
  <si>
    <t>アンドラスC</t>
  </si>
  <si>
    <t>アンドラス</t>
  </si>
  <si>
    <t>祖64</t>
  </si>
  <si>
    <t>フラウロスB</t>
  </si>
  <si>
    <t>フラウロス</t>
  </si>
  <si>
    <t>祖65</t>
  </si>
  <si>
    <t>アンドレアルフスC</t>
  </si>
  <si>
    <t>アンドレアルフス</t>
  </si>
  <si>
    <t>祖66</t>
  </si>
  <si>
    <t>キマリスC</t>
  </si>
  <si>
    <t>キマリス</t>
  </si>
  <si>
    <t>祖67</t>
  </si>
  <si>
    <t>アムドゥスキアスB</t>
  </si>
  <si>
    <t>アムドゥスキアス</t>
  </si>
  <si>
    <t>祖68</t>
  </si>
  <si>
    <t>ベリアルB</t>
  </si>
  <si>
    <t>ベリアル</t>
  </si>
  <si>
    <t>祖69</t>
  </si>
  <si>
    <t>デカラビアB</t>
  </si>
  <si>
    <t>デカラビア</t>
  </si>
  <si>
    <t>祖70</t>
  </si>
  <si>
    <t>セーレR</t>
  </si>
  <si>
    <t>セーレ</t>
  </si>
  <si>
    <t>祖71</t>
  </si>
  <si>
    <t>ダンタリオンR</t>
  </si>
  <si>
    <t>ダンタリオン</t>
  </si>
  <si>
    <t>祖72</t>
  </si>
  <si>
    <t>アンドロマリウスC</t>
  </si>
  <si>
    <t>アンドロマリウス</t>
  </si>
  <si>
    <t>真01</t>
  </si>
  <si>
    <t>リリムR</t>
  </si>
  <si>
    <t>‐</t>
  </si>
  <si>
    <t>リリム</t>
  </si>
  <si>
    <t>真02</t>
  </si>
  <si>
    <t>ニバスB</t>
  </si>
  <si>
    <t>ニバス</t>
  </si>
  <si>
    <t>真03</t>
  </si>
  <si>
    <t>サキュバスB</t>
  </si>
  <si>
    <t>サキュバス</t>
  </si>
  <si>
    <t>真04</t>
  </si>
  <si>
    <t>ユフィールC</t>
  </si>
  <si>
    <t>限定</t>
  </si>
  <si>
    <t>ユフィール</t>
  </si>
  <si>
    <t>真05</t>
  </si>
  <si>
    <t>フリアエR</t>
  </si>
  <si>
    <t>フリアエ</t>
  </si>
  <si>
    <t>真06</t>
  </si>
  <si>
    <t>アラストールB</t>
  </si>
  <si>
    <t>アラストール</t>
  </si>
  <si>
    <t>真07</t>
  </si>
  <si>
    <t>ヒュトギンC</t>
  </si>
  <si>
    <t>ヒュトギン</t>
  </si>
  <si>
    <t>真08</t>
  </si>
  <si>
    <t>ロキR</t>
  </si>
  <si>
    <t>ロキ</t>
  </si>
  <si>
    <t>真09</t>
  </si>
  <si>
    <t>インキュバスC</t>
  </si>
  <si>
    <t>インキュバス</t>
  </si>
  <si>
    <t>真10</t>
  </si>
  <si>
    <t>グリマルキンR</t>
  </si>
  <si>
    <t>グリマルキン</t>
  </si>
  <si>
    <t>真11</t>
  </si>
  <si>
    <t>コルソンR</t>
  </si>
  <si>
    <t>コルソン</t>
  </si>
  <si>
    <t>真12</t>
  </si>
  <si>
    <t>ジニマルR</t>
  </si>
  <si>
    <t>ジニマル</t>
  </si>
  <si>
    <t>真13</t>
  </si>
  <si>
    <t>バフォメット</t>
  </si>
  <si>
    <t>真14</t>
  </si>
  <si>
    <t>サラB</t>
  </si>
  <si>
    <t>サラ</t>
  </si>
  <si>
    <t>真15</t>
  </si>
  <si>
    <t>サタナキアB</t>
  </si>
  <si>
    <t>サタナキア</t>
  </si>
  <si>
    <t>真16</t>
  </si>
  <si>
    <t>タナトス</t>
  </si>
  <si>
    <t>真17</t>
  </si>
  <si>
    <t>ティアマトR</t>
  </si>
  <si>
    <t>？</t>
  </si>
  <si>
    <t>ティアマト</t>
  </si>
  <si>
    <t>真18</t>
  </si>
  <si>
    <t>ブニB</t>
  </si>
  <si>
    <t>ブニ</t>
  </si>
  <si>
    <t>真19</t>
  </si>
  <si>
    <t>オリエンスB</t>
  </si>
  <si>
    <t>オリエンス</t>
  </si>
  <si>
    <t>真20</t>
  </si>
  <si>
    <t>アリオク</t>
  </si>
  <si>
    <t>真21</t>
  </si>
  <si>
    <t>リヴァイアサン</t>
  </si>
  <si>
    <t>真22</t>
  </si>
  <si>
    <t>カスピエルC</t>
  </si>
  <si>
    <t>カスピエル</t>
  </si>
  <si>
    <t>真23</t>
  </si>
  <si>
    <t>ネフィリムB</t>
  </si>
  <si>
    <t>ネフィリム</t>
  </si>
  <si>
    <t>真24</t>
  </si>
  <si>
    <t>ミノソン</t>
  </si>
  <si>
    <t>真25</t>
  </si>
  <si>
    <t>ニスロクB</t>
  </si>
  <si>
    <t>ニスロク</t>
  </si>
  <si>
    <t>真26</t>
  </si>
  <si>
    <t>オレイ</t>
  </si>
  <si>
    <t>真27</t>
  </si>
  <si>
    <t>マルチネC</t>
  </si>
  <si>
    <t>マルチネ</t>
  </si>
  <si>
    <t>真28</t>
  </si>
  <si>
    <t>アザゼル</t>
  </si>
  <si>
    <t>真29</t>
  </si>
  <si>
    <t>アルマロス</t>
  </si>
  <si>
    <t>真30</t>
  </si>
  <si>
    <t>バラキエル</t>
  </si>
  <si>
    <t>真31</t>
  </si>
  <si>
    <t>フルーレティB</t>
  </si>
  <si>
    <t>フルーレティ</t>
  </si>
  <si>
    <t>真32</t>
  </si>
  <si>
    <t>ガギゾン</t>
  </si>
  <si>
    <t>真33</t>
  </si>
  <si>
    <t>ハックB</t>
  </si>
  <si>
    <t>ハック</t>
  </si>
  <si>
    <t>真34</t>
  </si>
  <si>
    <t>マスティマ</t>
  </si>
  <si>
    <t>真35</t>
  </si>
  <si>
    <t>ブリフォー</t>
  </si>
  <si>
    <t>真36</t>
  </si>
  <si>
    <t>メフィストC</t>
  </si>
  <si>
    <t>メフィスト</t>
  </si>
  <si>
    <t>真37</t>
  </si>
  <si>
    <t>ネビロス</t>
  </si>
  <si>
    <t>真38</t>
  </si>
  <si>
    <t>アガリアレプトR</t>
  </si>
  <si>
    <t>アガリアレプト</t>
  </si>
  <si>
    <t>真39</t>
  </si>
  <si>
    <t>ウコバク</t>
  </si>
  <si>
    <t>真40</t>
  </si>
  <si>
    <t>グザファン</t>
  </si>
  <si>
    <t>真41</t>
  </si>
  <si>
    <t>アマイモンR</t>
  </si>
  <si>
    <t>アマイモン</t>
  </si>
  <si>
    <t>真42</t>
  </si>
  <si>
    <t>ルキフゲス</t>
  </si>
  <si>
    <t>真43</t>
  </si>
  <si>
    <t>サルガタナス</t>
  </si>
  <si>
    <t>真44</t>
  </si>
  <si>
    <t>タムス</t>
  </si>
  <si>
    <t>真45</t>
  </si>
  <si>
    <t>チェルノボグ</t>
  </si>
  <si>
    <t>真46</t>
  </si>
  <si>
    <t>アガシオン</t>
  </si>
  <si>
    <t>真47</t>
  </si>
  <si>
    <t>ヴェルドレ</t>
  </si>
  <si>
    <t>真48</t>
  </si>
  <si>
    <t>ウトゥック</t>
  </si>
  <si>
    <t>真49</t>
  </si>
  <si>
    <t>サタナイル</t>
  </si>
  <si>
    <t>真50</t>
  </si>
  <si>
    <t>シャミハザR</t>
  </si>
  <si>
    <t>シャミハザ</t>
  </si>
  <si>
    <t>真51</t>
  </si>
  <si>
    <t>プルフラスB</t>
  </si>
  <si>
    <t>プルフラス</t>
  </si>
  <si>
    <t>真52</t>
  </si>
  <si>
    <t>ジズR</t>
  </si>
  <si>
    <t>ジズ</t>
  </si>
  <si>
    <t>真53</t>
  </si>
  <si>
    <t>ベバルC</t>
  </si>
  <si>
    <t>ベバル</t>
  </si>
  <si>
    <t>真54</t>
  </si>
  <si>
    <t>アバラムC</t>
  </si>
  <si>
    <t>アバラム</t>
  </si>
  <si>
    <t>真55</t>
  </si>
  <si>
    <t>アリトン</t>
  </si>
  <si>
    <t>真56</t>
  </si>
  <si>
    <t>バロール</t>
  </si>
  <si>
    <t>真57</t>
  </si>
  <si>
    <t>ベヒモスB</t>
  </si>
  <si>
    <t>ベヒモス</t>
  </si>
  <si>
    <t>真58</t>
  </si>
  <si>
    <t>ダゴンR</t>
  </si>
  <si>
    <t>ダゴン</t>
  </si>
  <si>
    <t>真59</t>
  </si>
  <si>
    <t>スコルベノトR</t>
  </si>
  <si>
    <t>スコルベノト</t>
  </si>
  <si>
    <t>真60</t>
  </si>
  <si>
    <t>メルコム</t>
  </si>
  <si>
    <t>真61</t>
  </si>
  <si>
    <t>フィロタヌス</t>
  </si>
  <si>
    <t>真62</t>
  </si>
  <si>
    <t>インプR</t>
  </si>
  <si>
    <t>インプ</t>
  </si>
  <si>
    <t>真63</t>
  </si>
  <si>
    <t>アマゼロトB</t>
  </si>
  <si>
    <t>アマゼロト</t>
  </si>
  <si>
    <t>真64</t>
  </si>
  <si>
    <t>プロメテウスC</t>
  </si>
  <si>
    <t>プロメテウス</t>
  </si>
  <si>
    <t>真65</t>
  </si>
  <si>
    <t>ベルフェゴール</t>
  </si>
  <si>
    <t>真66</t>
  </si>
  <si>
    <t>マモン</t>
  </si>
  <si>
    <t>真67</t>
  </si>
  <si>
    <t>ルシファー</t>
  </si>
  <si>
    <t>真68</t>
  </si>
  <si>
    <t>ネルガルB</t>
  </si>
  <si>
    <t>ネルガル</t>
  </si>
  <si>
    <t>真69</t>
  </si>
  <si>
    <t>バールゼフォンC</t>
  </si>
  <si>
    <t>バールゼフォン</t>
  </si>
  <si>
    <t>真70</t>
  </si>
  <si>
    <t>アスラフィル</t>
  </si>
  <si>
    <t>真71</t>
  </si>
  <si>
    <t>アクィエルB</t>
  </si>
  <si>
    <t>アクィエル</t>
  </si>
  <si>
    <t>真72</t>
  </si>
  <si>
    <t>ゲイボルグ</t>
  </si>
  <si>
    <t>宵01</t>
  </si>
  <si>
    <t>リリス</t>
  </si>
  <si>
    <t>宵02</t>
  </si>
  <si>
    <t>バールベリト</t>
  </si>
  <si>
    <t>宵03</t>
  </si>
  <si>
    <t>エウリノーム</t>
  </si>
  <si>
    <t>宵04</t>
  </si>
  <si>
    <t>ベルゼブフ</t>
  </si>
  <si>
    <t>宵05</t>
  </si>
  <si>
    <t>サタン</t>
  </si>
  <si>
    <t>宵06</t>
  </si>
  <si>
    <t>モレク</t>
  </si>
  <si>
    <t>継01</t>
  </si>
  <si>
    <t>カガセオ</t>
  </si>
  <si>
    <t>継02</t>
  </si>
  <si>
    <t>マナナンガル</t>
  </si>
  <si>
    <t>継03</t>
  </si>
  <si>
    <t>シェンウー</t>
  </si>
  <si>
    <t>継04</t>
  </si>
  <si>
    <t>チンロン</t>
  </si>
  <si>
    <t>継05</t>
  </si>
  <si>
    <t>バイフー</t>
  </si>
  <si>
    <t>継06</t>
  </si>
  <si>
    <t>チューチャオ</t>
  </si>
  <si>
    <t>継07</t>
  </si>
  <si>
    <t>チユエン</t>
  </si>
  <si>
    <t>継08</t>
  </si>
  <si>
    <t>ヴリトラ</t>
  </si>
  <si>
    <t>継09</t>
  </si>
  <si>
    <t>フーリーチン</t>
  </si>
  <si>
    <t>継11</t>
  </si>
  <si>
    <t>アンダカ</t>
  </si>
  <si>
    <t>ゲージ</t>
  </si>
  <si>
    <t>HP</t>
  </si>
  <si>
    <t>攻撃力</t>
  </si>
  <si>
    <t>防御力</t>
  </si>
  <si>
    <t>素早さ</t>
  </si>
  <si>
    <t>攻撃回数</t>
  </si>
  <si>
    <t>誕生/転生日</t>
  </si>
  <si>
    <t>ヴィータ名</t>
  </si>
  <si>
    <t>以降検索列</t>
  </si>
  <si>
    <t>不明</t>
  </si>
  <si>
    <t>コラン</t>
  </si>
  <si>
    <t>羽ばたく鰐</t>
  </si>
  <si>
    <t>エリザ</t>
  </si>
  <si>
    <t>リュカ</t>
  </si>
  <si>
    <t>モニカ</t>
  </si>
  <si>
    <t>アネット</t>
  </si>
  <si>
    <t>（忘却）</t>
  </si>
  <si>
    <t>（本名）</t>
  </si>
  <si>
    <t>アンナ</t>
  </si>
  <si>
    <t>エルデ</t>
  </si>
  <si>
    <t>フガ</t>
  </si>
  <si>
    <t>ボルフ</t>
  </si>
  <si>
    <t>フォルス</t>
  </si>
  <si>
    <t>セクトル</t>
  </si>
  <si>
    <t>ルイゼット</t>
  </si>
  <si>
    <t>アリン</t>
  </si>
  <si>
    <t>アルフォンソ</t>
  </si>
  <si>
    <t>マナイ</t>
  </si>
  <si>
    <t>アーサー</t>
  </si>
  <si>
    <t>サミア</t>
  </si>
  <si>
    <t>ノイン</t>
  </si>
  <si>
    <t>マリーナ</t>
  </si>
  <si>
    <t>イゾルデ</t>
  </si>
  <si>
    <t>忘却</t>
  </si>
  <si>
    <t>グリプス</t>
  </si>
  <si>
    <t>エレン</t>
  </si>
  <si>
    <t>エミー</t>
  </si>
  <si>
    <t>ユーゴ</t>
  </si>
  <si>
    <t>エディリ</t>
  </si>
  <si>
    <t>ソーラ</t>
  </si>
  <si>
    <t>フラウ</t>
  </si>
  <si>
    <t>セーマン</t>
  </si>
  <si>
    <t>クレア</t>
  </si>
  <si>
    <t>100↓</t>
  </si>
  <si>
    <t>500↑</t>
  </si>
  <si>
    <t>オブラ</t>
  </si>
  <si>
    <t>未公開</t>
  </si>
  <si>
    <t>ジルベール</t>
  </si>
  <si>
    <t>（改名）</t>
  </si>
  <si>
    <t>？月？日</t>
  </si>
  <si>
    <t>ローゼ</t>
  </si>
  <si>
    <t>ツルギ</t>
  </si>
  <si>
    <t>エンラ</t>
  </si>
  <si>
    <t>リンクィ</t>
  </si>
  <si>
    <t>ビセン</t>
  </si>
  <si>
    <t>シュエ</t>
  </si>
  <si>
    <t>ヒバリ</t>
  </si>
  <si>
    <t>ウーコン</t>
  </si>
  <si>
    <t>ファングー</t>
  </si>
  <si>
    <t>200↑</t>
  </si>
  <si>
    <t>クズハ</t>
  </si>
  <si>
    <t>セーゲン</t>
  </si>
  <si>
    <t>総数</t>
  </si>
  <si>
    <t>番号</t>
  </si>
  <si>
    <t>画像</t>
  </si>
  <si>
    <t>名前</t>
  </si>
  <si>
    <t>英語表記</t>
  </si>
  <si>
    <t>境遇</t>
  </si>
  <si>
    <t>Re済</t>
  </si>
  <si>
    <t>専用衣装のテーマ</t>
  </si>
  <si>
    <t>全高(cm)</t>
  </si>
  <si>
    <t>体重(kg)</t>
  </si>
  <si>
    <t>Bael</t>
  </si>
  <si>
    <t>転生</t>
  </si>
  <si>
    <t>〇</t>
  </si>
  <si>
    <t>ハロウィン</t>
  </si>
  <si>
    <t>0.3～155</t>
  </si>
  <si>
    <t>0.07～72</t>
  </si>
  <si>
    <t>Agares</t>
  </si>
  <si>
    <t>ミリタリー</t>
  </si>
  <si>
    <t>Vassago</t>
  </si>
  <si>
    <t>イースター</t>
  </si>
  <si>
    <t>Gamigin</t>
  </si>
  <si>
    <t>フォーマル</t>
  </si>
  <si>
    <t>Marbas</t>
  </si>
  <si>
    <t>Valefor</t>
  </si>
  <si>
    <t>Amon</t>
  </si>
  <si>
    <t>正月</t>
  </si>
  <si>
    <t>Barbatos</t>
  </si>
  <si>
    <t>水着（色違い有）</t>
  </si>
  <si>
    <t>Paimon</t>
  </si>
  <si>
    <t>1周年</t>
  </si>
  <si>
    <t>Buer</t>
  </si>
  <si>
    <t>水着</t>
  </si>
  <si>
    <t>Gusion</t>
  </si>
  <si>
    <t>Sitri</t>
  </si>
  <si>
    <t>クリスマス</t>
  </si>
  <si>
    <t>Beleth</t>
  </si>
  <si>
    <t>Lerajie</t>
  </si>
  <si>
    <t>部活</t>
  </si>
  <si>
    <t>Eligos</t>
  </si>
  <si>
    <t>バレンタイン</t>
  </si>
  <si>
    <t>Zepar</t>
  </si>
  <si>
    <t>Botis</t>
  </si>
  <si>
    <t>普段着</t>
  </si>
  <si>
    <t>Bathin</t>
  </si>
  <si>
    <t>ネオヴィクトリアン</t>
  </si>
  <si>
    <t>Saleos</t>
  </si>
  <si>
    <t>セーラー</t>
  </si>
  <si>
    <t>984(全長)</t>
  </si>
  <si>
    <t>Purson</t>
  </si>
  <si>
    <t>72ヶ月（6周年）</t>
  </si>
  <si>
    <t>Morax</t>
  </si>
  <si>
    <t>Ipos</t>
  </si>
  <si>
    <t>Aim</t>
  </si>
  <si>
    <t>浴衣</t>
  </si>
  <si>
    <t>Naberius</t>
  </si>
  <si>
    <t>Glasya-Labolas</t>
  </si>
  <si>
    <t>学生服</t>
  </si>
  <si>
    <t>Bune</t>
  </si>
  <si>
    <t>Ronove</t>
  </si>
  <si>
    <t>応援団</t>
  </si>
  <si>
    <t>Berith</t>
  </si>
  <si>
    <t>Astaroth</t>
  </si>
  <si>
    <t>1711(全長)</t>
  </si>
  <si>
    <t>Forneus</t>
  </si>
  <si>
    <t>2331(全長)</t>
  </si>
  <si>
    <t>Foras</t>
  </si>
  <si>
    <t>Asmodeus</t>
  </si>
  <si>
    <t>Gaap</t>
  </si>
  <si>
    <t>Furfur</t>
  </si>
  <si>
    <t>パジャマ</t>
  </si>
  <si>
    <t>Marchosias</t>
  </si>
  <si>
    <t>Stolas</t>
  </si>
  <si>
    <t>Phoenix</t>
  </si>
  <si>
    <t>ホワイトデー</t>
  </si>
  <si>
    <t>Halphas</t>
  </si>
  <si>
    <t>Malphas</t>
  </si>
  <si>
    <t>Raum</t>
  </si>
  <si>
    <t>Focalor</t>
  </si>
  <si>
    <t>Vepar</t>
  </si>
  <si>
    <t>1010(全長)</t>
  </si>
  <si>
    <t>Sabnac</t>
  </si>
  <si>
    <t>バンキン族の鎧</t>
  </si>
  <si>
    <t>Shax</t>
  </si>
  <si>
    <t>Vine</t>
  </si>
  <si>
    <t>Bifrons</t>
  </si>
  <si>
    <t>Uvall</t>
  </si>
  <si>
    <t>Hagenti</t>
  </si>
  <si>
    <t>Crocell</t>
  </si>
  <si>
    <t>Furcas</t>
  </si>
  <si>
    <t>チアリーダー</t>
  </si>
  <si>
    <t>Balam</t>
  </si>
  <si>
    <t>2周年</t>
  </si>
  <si>
    <t>1305(全長)</t>
  </si>
  <si>
    <t>Allocer</t>
  </si>
  <si>
    <t>Caim</t>
  </si>
  <si>
    <t>Murmur</t>
  </si>
  <si>
    <t>Orobas</t>
  </si>
  <si>
    <t>Gremory</t>
  </si>
  <si>
    <t>Ose</t>
  </si>
  <si>
    <t>Amy</t>
  </si>
  <si>
    <t>Orias</t>
  </si>
  <si>
    <t>Vapula</t>
  </si>
  <si>
    <t>Zagan</t>
  </si>
  <si>
    <t>Valac</t>
  </si>
  <si>
    <t>Andras</t>
  </si>
  <si>
    <t>Flauros</t>
  </si>
  <si>
    <t>Andrealphus</t>
  </si>
  <si>
    <t>Kimaris</t>
  </si>
  <si>
    <t>レインコート</t>
  </si>
  <si>
    <t>Amduscias</t>
  </si>
  <si>
    <t>Belial</t>
  </si>
  <si>
    <t>Decarabia</t>
  </si>
  <si>
    <t>Seere</t>
  </si>
  <si>
    <t>Dantalion</t>
  </si>
  <si>
    <t>Andromalius</t>
  </si>
  <si>
    <t>Lilim</t>
  </si>
  <si>
    <t>純正</t>
  </si>
  <si>
    <t>Nybbas</t>
  </si>
  <si>
    <t>Succubus</t>
  </si>
  <si>
    <t>Uphir</t>
  </si>
  <si>
    <t>3周年</t>
  </si>
  <si>
    <t>Furiae</t>
  </si>
  <si>
    <t>Alastor</t>
  </si>
  <si>
    <t>Hutgin</t>
  </si>
  <si>
    <t>Loki</t>
  </si>
  <si>
    <t>Incubus</t>
  </si>
  <si>
    <t>Grimalkin</t>
  </si>
  <si>
    <t>Corson</t>
  </si>
  <si>
    <t>Jinimal</t>
  </si>
  <si>
    <t>Baphomet</t>
  </si>
  <si>
    <t>Sarah</t>
  </si>
  <si>
    <t>被験</t>
  </si>
  <si>
    <t>Satanachia</t>
  </si>
  <si>
    <t>Thanatos</t>
  </si>
  <si>
    <t>Tiamat</t>
  </si>
  <si>
    <t>Buni</t>
  </si>
  <si>
    <t>Oriens</t>
  </si>
  <si>
    <t>Arioch</t>
  </si>
  <si>
    <t>Leviathan</t>
  </si>
  <si>
    <t>4周年</t>
  </si>
  <si>
    <t>5000(全長)</t>
  </si>
  <si>
    <t>Caspiel</t>
  </si>
  <si>
    <t>Nephilim</t>
  </si>
  <si>
    <t>Minoson</t>
  </si>
  <si>
    <t>Nisroch</t>
  </si>
  <si>
    <t>Oray</t>
  </si>
  <si>
    <t>Martinet</t>
  </si>
  <si>
    <t>Azazel</t>
  </si>
  <si>
    <t>Armaros</t>
  </si>
  <si>
    <t>Barakiel</t>
  </si>
  <si>
    <t>Fleurety</t>
  </si>
  <si>
    <t>Gagyson</t>
  </si>
  <si>
    <t>Hack</t>
  </si>
  <si>
    <t>Mastema</t>
  </si>
  <si>
    <t>Briffaut</t>
  </si>
  <si>
    <t>Mephisto</t>
  </si>
  <si>
    <t>Nebiros</t>
  </si>
  <si>
    <t>Agaliarept</t>
  </si>
  <si>
    <t>Ukobach</t>
  </si>
  <si>
    <t>Xaphan</t>
  </si>
  <si>
    <t>Amaimon</t>
  </si>
  <si>
    <t>Lucifugus</t>
  </si>
  <si>
    <t>5周年</t>
  </si>
  <si>
    <t>Sargatanas</t>
  </si>
  <si>
    <t>Thamuz</t>
  </si>
  <si>
    <t>詳細不明</t>
  </si>
  <si>
    <t>Chernobog</t>
  </si>
  <si>
    <t>Agathion</t>
  </si>
  <si>
    <t>Verdelet</t>
  </si>
  <si>
    <t>Utukku</t>
  </si>
  <si>
    <t>Satanail</t>
  </si>
  <si>
    <t>Shamhaza</t>
  </si>
  <si>
    <t>Pruflas</t>
  </si>
  <si>
    <t>Ziz</t>
  </si>
  <si>
    <t>Bebal</t>
  </si>
  <si>
    <t>Abalam</t>
  </si>
  <si>
    <t>Ariton</t>
  </si>
  <si>
    <t>Balor</t>
  </si>
  <si>
    <t>Behemoth</t>
  </si>
  <si>
    <t>Dagon</t>
  </si>
  <si>
    <t>Succorbenoth</t>
  </si>
  <si>
    <t>Melchom</t>
  </si>
  <si>
    <t>Philotanus</t>
  </si>
  <si>
    <t>Imp</t>
  </si>
  <si>
    <t>Amazeroth</t>
  </si>
  <si>
    <t>Prometheus</t>
  </si>
  <si>
    <t>Belphegor</t>
  </si>
  <si>
    <t>Mammon</t>
  </si>
  <si>
    <t>Lucifer</t>
  </si>
  <si>
    <t>Nergal</t>
  </si>
  <si>
    <t>Baalzephon</t>
  </si>
  <si>
    <t>Asrafil</t>
  </si>
  <si>
    <t>Aquiel</t>
  </si>
  <si>
    <t>Gaebolg</t>
  </si>
  <si>
    <t>Lilith</t>
  </si>
  <si>
    <t>Balberith</t>
  </si>
  <si>
    <t>Eurynome</t>
  </si>
  <si>
    <t>Beelzebub</t>
  </si>
  <si>
    <t>Satan</t>
  </si>
  <si>
    <t>Molech</t>
  </si>
  <si>
    <t>Kagaseo</t>
  </si>
  <si>
    <t>継承</t>
  </si>
  <si>
    <t>Manananggal　</t>
  </si>
  <si>
    <t>Xuanwu</t>
  </si>
  <si>
    <t>Qinglong</t>
  </si>
  <si>
    <t>Baihu</t>
  </si>
  <si>
    <t>Zhuqiao</t>
  </si>
  <si>
    <t>Jueyuan</t>
  </si>
  <si>
    <t>Vritra</t>
  </si>
  <si>
    <t>Hulijing</t>
  </si>
  <si>
    <t>継10</t>
  </si>
  <si>
    <t>Andaca</t>
  </si>
  <si>
    <t>ストーリー</t>
  </si>
  <si>
    <t>引き直し対象</t>
  </si>
  <si>
    <t>常設イベント</t>
  </si>
  <si>
    <t>初期メンバー</t>
  </si>
  <si>
    <t>ガチャ</t>
  </si>
  <si>
    <t>召喚特異点</t>
  </si>
  <si>
    <t>テルミナス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</si>
</sst>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&quot;/&quot;dd"/>
    <numFmt numFmtId="165" formatCode="m\月d\日"/>
  </numFmts>
  <fonts count="1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8"/>
      <color rgb="FF000000"/>
      <name val="Verdana"/>
    </font>
    <font>
      <b/>
      <u/>
      <sz val="11"/>
      <color theme="10"/>
      <name val="Calibri"/>
    </font>
    <font>
      <sz val="11"/>
      <color theme="1"/>
      <name val="Arial"/>
    </font>
    <font>
      <b/>
      <u/>
      <sz val="11"/>
      <color theme="10"/>
      <name val="Calibri"/>
    </font>
    <font>
      <b/>
      <u/>
      <sz val="11"/>
      <color theme="10"/>
      <name val="Calibri"/>
    </font>
    <font>
      <sz val="11"/>
      <color theme="1"/>
      <name val="Arial"/>
    </font>
    <font>
      <sz val="11"/>
      <color rgb="FF7030A0"/>
      <name val="Arial"/>
    </font>
    <font>
      <sz val="11"/>
      <color rgb="FFC00000"/>
      <name val="Arial"/>
    </font>
    <font>
      <sz val="11"/>
      <color rgb="FFFF0000"/>
      <name val="Arial"/>
    </font>
    <font>
      <sz val="11"/>
      <color rgb="FF00B050"/>
      <name val="Arial"/>
    </font>
    <font>
      <sz val="11"/>
      <color rgb="FF0070C0"/>
      <name val="Arial"/>
    </font>
    <font>
      <sz val="11"/>
      <color rgb="FF00B0F0"/>
      <name val="Arial"/>
    </font>
  </fonts>
  <fills count="3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E6E6FA"/>
        <bgColor rgb="FFE6E6FA"/>
      </patternFill>
    </fill>
    <fill>
      <patternFill patternType="solid">
        <fgColor rgb="FFEEF5FF"/>
        <bgColor rgb="FFEEF5FF"/>
      </patternFill>
    </fill>
    <fill>
      <patternFill patternType="solid">
        <fgColor rgb="FFFAEBD7"/>
        <bgColor rgb="FFFAEBD7"/>
      </patternFill>
    </fill>
    <fill>
      <patternFill patternType="solid">
        <fgColor rgb="FFDCDCDC"/>
        <bgColor rgb="FFDCDCDC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C5D9F1"/>
        <bgColor rgb="FFC5D9F1"/>
      </patternFill>
    </fill>
    <fill>
      <patternFill patternType="solid">
        <fgColor rgb="FFDCB9FF"/>
        <bgColor rgb="FFDCB9FF"/>
      </patternFill>
    </fill>
    <fill>
      <patternFill patternType="solid">
        <fgColor rgb="FFFDE9D9"/>
        <bgColor rgb="FFFDE9D9"/>
      </patternFill>
    </fill>
    <fill>
      <patternFill patternType="solid">
        <fgColor rgb="FFEFDB63"/>
        <bgColor rgb="FFEFDB63"/>
      </patternFill>
    </fill>
    <fill>
      <patternFill patternType="solid">
        <fgColor rgb="FFEAD1DC"/>
        <bgColor rgb="FFEAD1DC"/>
      </patternFill>
    </fill>
    <fill>
      <patternFill patternType="solid">
        <fgColor rgb="FFEEECE1"/>
        <bgColor rgb="FFEEECE1"/>
      </patternFill>
    </fill>
    <fill>
      <patternFill patternType="solid">
        <fgColor rgb="FFF2DCDB"/>
        <bgColor rgb="FFF2DCDB"/>
      </patternFill>
    </fill>
    <fill>
      <patternFill patternType="solid">
        <fgColor rgb="FFFFCC99"/>
        <bgColor rgb="FFFFCC99"/>
      </patternFill>
    </fill>
    <fill>
      <patternFill patternType="solid">
        <fgColor rgb="FFCCFF99"/>
        <bgColor rgb="FFCCFF99"/>
      </patternFill>
    </fill>
    <fill>
      <patternFill patternType="solid">
        <fgColor rgb="FFB7DEE8"/>
        <bgColor rgb="FFB7DEE8"/>
      </patternFill>
    </fill>
    <fill>
      <patternFill patternType="solid">
        <fgColor rgb="FF99FFCC"/>
        <bgColor rgb="FF99FFCC"/>
      </patternFill>
    </fill>
    <fill>
      <patternFill patternType="solid">
        <fgColor rgb="FFFFFFCC"/>
        <bgColor rgb="FFFFFFCC"/>
      </patternFill>
    </fill>
  </fills>
  <borders count="1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164" fontId="1" fillId="0" borderId="0" xfId="0" applyNumberFormat="1" applyFont="1"/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165" fontId="3" fillId="5" borderId="1" xfId="0" applyNumberFormat="1" applyFont="1" applyFill="1" applyBorder="1" applyAlignment="1">
      <alignment vertical="center" wrapText="1"/>
    </xf>
    <xf numFmtId="165" fontId="5" fillId="0" borderId="0" xfId="0" applyNumberFormat="1" applyFont="1" applyAlignment="1">
      <alignment horizontal="center"/>
    </xf>
    <xf numFmtId="0" fontId="6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1" fillId="0" borderId="0" xfId="0" applyFont="1"/>
    <xf numFmtId="0" fontId="3" fillId="5" borderId="1" xfId="0" applyFont="1" applyFill="1" applyBorder="1" applyAlignment="1">
      <alignment horizontal="right" vertical="center" wrapText="1"/>
    </xf>
    <xf numFmtId="0" fontId="5" fillId="11" borderId="2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8" fillId="0" borderId="2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8" fillId="0" borderId="5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0" fontId="8" fillId="0" borderId="8" xfId="0" applyFont="1" applyBorder="1"/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13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14" borderId="4" xfId="0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0" fontId="5" fillId="0" borderId="6" xfId="0" applyFont="1" applyBorder="1"/>
    <xf numFmtId="0" fontId="5" fillId="14" borderId="6" xfId="0" applyFont="1" applyFill="1" applyBorder="1" applyAlignment="1">
      <alignment horizontal="center"/>
    </xf>
    <xf numFmtId="0" fontId="8" fillId="0" borderId="6" xfId="0" applyFont="1" applyBorder="1"/>
    <xf numFmtId="0" fontId="5" fillId="0" borderId="11" xfId="0" applyFont="1" applyBorder="1" applyAlignment="1">
      <alignment horizontal="center"/>
    </xf>
    <xf numFmtId="0" fontId="5" fillId="15" borderId="11" xfId="0" applyFont="1" applyFill="1" applyBorder="1" applyAlignment="1">
      <alignment horizontal="center"/>
    </xf>
    <xf numFmtId="0" fontId="8" fillId="0" borderId="11" xfId="0" applyFont="1" applyBorder="1"/>
    <xf numFmtId="0" fontId="5" fillId="14" borderId="9" xfId="0" applyFont="1" applyFill="1" applyBorder="1"/>
    <xf numFmtId="165" fontId="5" fillId="14" borderId="8" xfId="0" applyNumberFormat="1" applyFont="1" applyFill="1" applyBorder="1" applyAlignment="1">
      <alignment horizontal="center"/>
    </xf>
    <xf numFmtId="0" fontId="8" fillId="14" borderId="9" xfId="0" applyFont="1" applyFill="1" applyBorder="1"/>
    <xf numFmtId="0" fontId="5" fillId="14" borderId="9" xfId="0" applyFont="1" applyFill="1" applyBorder="1" applyAlignment="1">
      <alignment horizontal="center"/>
    </xf>
    <xf numFmtId="0" fontId="5" fillId="14" borderId="10" xfId="0" applyFont="1" applyFill="1" applyBorder="1" applyAlignment="1">
      <alignment horizontal="center"/>
    </xf>
    <xf numFmtId="0" fontId="5" fillId="15" borderId="5" xfId="0" applyFont="1" applyFill="1" applyBorder="1" applyAlignment="1">
      <alignment horizontal="center"/>
    </xf>
    <xf numFmtId="0" fontId="5" fillId="0" borderId="12" xfId="0" applyFont="1" applyBorder="1"/>
    <xf numFmtId="0" fontId="5" fillId="14" borderId="12" xfId="0" applyFont="1" applyFill="1" applyBorder="1"/>
    <xf numFmtId="165" fontId="5" fillId="14" borderId="2" xfId="0" applyNumberFormat="1" applyFont="1" applyFill="1" applyBorder="1" applyAlignment="1">
      <alignment horizontal="center"/>
    </xf>
    <xf numFmtId="0" fontId="8" fillId="14" borderId="4" xfId="0" applyFont="1" applyFill="1" applyBorder="1"/>
    <xf numFmtId="0" fontId="5" fillId="14" borderId="3" xfId="0" applyFont="1" applyFill="1" applyBorder="1" applyAlignment="1">
      <alignment horizontal="center"/>
    </xf>
    <xf numFmtId="0" fontId="5" fillId="14" borderId="2" xfId="0" applyFont="1" applyFill="1" applyBorder="1" applyAlignment="1">
      <alignment horizontal="center"/>
    </xf>
    <xf numFmtId="0" fontId="5" fillId="16" borderId="2" xfId="0" applyFont="1" applyFill="1" applyBorder="1" applyAlignment="1">
      <alignment horizontal="center"/>
    </xf>
    <xf numFmtId="0" fontId="5" fillId="14" borderId="2" xfId="0" applyFont="1" applyFill="1" applyBorder="1"/>
    <xf numFmtId="0" fontId="5" fillId="16" borderId="10" xfId="0" applyFont="1" applyFill="1" applyBorder="1" applyAlignment="1">
      <alignment horizontal="center"/>
    </xf>
    <xf numFmtId="0" fontId="8" fillId="0" borderId="10" xfId="0" applyFont="1" applyBorder="1"/>
    <xf numFmtId="0" fontId="5" fillId="14" borderId="4" xfId="0" applyFont="1" applyFill="1" applyBorder="1"/>
    <xf numFmtId="0" fontId="5" fillId="0" borderId="10" xfId="0" applyFont="1" applyBorder="1"/>
    <xf numFmtId="0" fontId="5" fillId="0" borderId="13" xfId="0" applyFont="1" applyBorder="1" applyAlignment="1">
      <alignment horizontal="center"/>
    </xf>
    <xf numFmtId="0" fontId="5" fillId="16" borderId="13" xfId="0" applyFont="1" applyFill="1" applyBorder="1" applyAlignment="1">
      <alignment horizontal="center"/>
    </xf>
    <xf numFmtId="0" fontId="5" fillId="14" borderId="6" xfId="0" applyFont="1" applyFill="1" applyBorder="1"/>
    <xf numFmtId="0" fontId="5" fillId="0" borderId="13" xfId="0" applyFont="1" applyBorder="1"/>
    <xf numFmtId="0" fontId="5" fillId="16" borderId="5" xfId="0" applyFont="1" applyFill="1" applyBorder="1" applyAlignment="1">
      <alignment horizontal="center"/>
    </xf>
    <xf numFmtId="0" fontId="5" fillId="0" borderId="5" xfId="0" applyFont="1" applyBorder="1"/>
    <xf numFmtId="0" fontId="8" fillId="14" borderId="3" xfId="0" applyFont="1" applyFill="1" applyBorder="1"/>
    <xf numFmtId="0" fontId="5" fillId="14" borderId="7" xfId="0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0" fontId="5" fillId="0" borderId="8" xfId="0" applyFont="1" applyBorder="1"/>
    <xf numFmtId="165" fontId="5" fillId="0" borderId="8" xfId="0" applyNumberFormat="1" applyFont="1" applyBorder="1" applyAlignment="1">
      <alignment horizontal="center"/>
    </xf>
    <xf numFmtId="0" fontId="8" fillId="0" borderId="9" xfId="0" applyFont="1" applyBorder="1"/>
    <xf numFmtId="0" fontId="5" fillId="10" borderId="2" xfId="0" applyFont="1" applyFill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8" fillId="0" borderId="14" xfId="0" applyFont="1" applyBorder="1"/>
    <xf numFmtId="0" fontId="5" fillId="17" borderId="2" xfId="0" applyFont="1" applyFill="1" applyBorder="1" applyAlignment="1">
      <alignment horizontal="center"/>
    </xf>
    <xf numFmtId="0" fontId="5" fillId="18" borderId="2" xfId="0" applyFont="1" applyFill="1" applyBorder="1" applyAlignment="1">
      <alignment horizontal="center"/>
    </xf>
    <xf numFmtId="0" fontId="9" fillId="19" borderId="4" xfId="0" applyFont="1" applyFill="1" applyBorder="1" applyAlignment="1">
      <alignment horizontal="center"/>
    </xf>
    <xf numFmtId="0" fontId="5" fillId="20" borderId="2" xfId="0" applyFont="1" applyFill="1" applyBorder="1" applyAlignment="1">
      <alignment horizontal="center"/>
    </xf>
    <xf numFmtId="0" fontId="10" fillId="21" borderId="4" xfId="0" applyFont="1" applyFill="1" applyBorder="1" applyAlignment="1">
      <alignment horizontal="center"/>
    </xf>
    <xf numFmtId="0" fontId="5" fillId="22" borderId="2" xfId="0" applyFont="1" applyFill="1" applyBorder="1" applyAlignment="1">
      <alignment horizontal="center"/>
    </xf>
    <xf numFmtId="0" fontId="5" fillId="23" borderId="2" xfId="0" applyFont="1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5" fillId="22" borderId="4" xfId="0" applyFont="1" applyFill="1" applyBorder="1" applyAlignment="1">
      <alignment horizontal="center"/>
    </xf>
    <xf numFmtId="0" fontId="11" fillId="25" borderId="4" xfId="0" applyFont="1" applyFill="1" applyBorder="1" applyAlignment="1">
      <alignment horizontal="center"/>
    </xf>
    <xf numFmtId="0" fontId="12" fillId="26" borderId="4" xfId="0" applyFont="1" applyFill="1" applyBorder="1" applyAlignment="1">
      <alignment horizontal="center"/>
    </xf>
    <xf numFmtId="0" fontId="13" fillId="27" borderId="4" xfId="0" applyFont="1" applyFill="1" applyBorder="1" applyAlignment="1">
      <alignment horizontal="center"/>
    </xf>
    <xf numFmtId="0" fontId="14" fillId="28" borderId="4" xfId="0" applyFont="1" applyFill="1" applyBorder="1" applyAlignment="1">
      <alignment horizontal="center"/>
    </xf>
    <xf numFmtId="0" fontId="5" fillId="28" borderId="2" xfId="0" applyFont="1" applyFill="1" applyBorder="1" applyAlignment="1">
      <alignment horizontal="center"/>
    </xf>
    <xf numFmtId="0" fontId="14" fillId="28" borderId="2" xfId="0" applyFont="1" applyFill="1" applyBorder="1" applyAlignment="1">
      <alignment horizontal="center"/>
    </xf>
    <xf numFmtId="0" fontId="5" fillId="20" borderId="5" xfId="0" applyFont="1" applyFill="1" applyBorder="1" applyAlignment="1">
      <alignment horizontal="center"/>
    </xf>
    <xf numFmtId="0" fontId="5" fillId="18" borderId="5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14" fillId="28" borderId="5" xfId="0" applyFont="1" applyFill="1" applyBorder="1" applyAlignment="1">
      <alignment horizontal="center"/>
    </xf>
    <xf numFmtId="0" fontId="5" fillId="17" borderId="8" xfId="0" applyFont="1" applyFill="1" applyBorder="1" applyAlignment="1">
      <alignment horizontal="center"/>
    </xf>
    <xf numFmtId="0" fontId="5" fillId="18" borderId="8" xfId="0" applyFont="1" applyFill="1" applyBorder="1" applyAlignment="1">
      <alignment horizontal="center"/>
    </xf>
    <xf numFmtId="0" fontId="10" fillId="21" borderId="9" xfId="0" applyFont="1" applyFill="1" applyBorder="1" applyAlignment="1">
      <alignment horizontal="center"/>
    </xf>
    <xf numFmtId="0" fontId="5" fillId="29" borderId="2" xfId="0" applyFont="1" applyFill="1" applyBorder="1" applyAlignment="1">
      <alignment horizontal="center"/>
    </xf>
    <xf numFmtId="0" fontId="5" fillId="20" borderId="4" xfId="0" applyFont="1" applyFill="1" applyBorder="1" applyAlignment="1">
      <alignment horizontal="center"/>
    </xf>
    <xf numFmtId="0" fontId="5" fillId="16" borderId="4" xfId="0" applyFont="1" applyFill="1" applyBorder="1" applyAlignment="1">
      <alignment horizontal="center"/>
    </xf>
    <xf numFmtId="0" fontId="5" fillId="23" borderId="4" xfId="0" applyFont="1" applyFill="1" applyBorder="1" applyAlignment="1">
      <alignment horizontal="center"/>
    </xf>
    <xf numFmtId="0" fontId="5" fillId="26" borderId="4" xfId="0" applyFont="1" applyFill="1" applyBorder="1" applyAlignment="1">
      <alignment horizontal="center"/>
    </xf>
    <xf numFmtId="0" fontId="5" fillId="17" borderId="4" xfId="0" applyFont="1" applyFill="1" applyBorder="1" applyAlignment="1">
      <alignment horizontal="center"/>
    </xf>
    <xf numFmtId="0" fontId="5" fillId="18" borderId="4" xfId="0" applyFont="1" applyFill="1" applyBorder="1" applyAlignment="1">
      <alignment horizontal="center"/>
    </xf>
    <xf numFmtId="0" fontId="5" fillId="29" borderId="4" xfId="0" applyFont="1" applyFill="1" applyBorder="1" applyAlignment="1">
      <alignment horizontal="center"/>
    </xf>
    <xf numFmtId="0" fontId="5" fillId="13" borderId="4" xfId="0" applyFont="1" applyFill="1" applyBorder="1" applyAlignment="1">
      <alignment horizontal="center"/>
    </xf>
    <xf numFmtId="0" fontId="5" fillId="24" borderId="4" xfId="0" applyFont="1" applyFill="1" applyBorder="1" applyAlignment="1">
      <alignment horizontal="center"/>
    </xf>
    <xf numFmtId="0" fontId="5" fillId="23" borderId="5" xfId="0" applyFont="1" applyFill="1" applyBorder="1" applyAlignment="1">
      <alignment horizontal="center"/>
    </xf>
    <xf numFmtId="0" fontId="5" fillId="29" borderId="5" xfId="0" applyFont="1" applyFill="1" applyBorder="1" applyAlignment="1">
      <alignment horizontal="center"/>
    </xf>
    <xf numFmtId="0" fontId="14" fillId="28" borderId="6" xfId="0" applyFont="1" applyFill="1" applyBorder="1" applyAlignment="1">
      <alignment horizontal="center"/>
    </xf>
    <xf numFmtId="0" fontId="5" fillId="17" borderId="9" xfId="0" applyFont="1" applyFill="1" applyBorder="1" applyAlignment="1">
      <alignment horizontal="center"/>
    </xf>
    <xf numFmtId="0" fontId="5" fillId="18" borderId="9" xfId="0" applyFont="1" applyFill="1" applyBorder="1" applyAlignment="1">
      <alignment horizontal="center"/>
    </xf>
    <xf numFmtId="0" fontId="5" fillId="28" borderId="9" xfId="0" applyFont="1" applyFill="1" applyBorder="1" applyAlignment="1">
      <alignment horizontal="center"/>
    </xf>
    <xf numFmtId="0" fontId="12" fillId="26" borderId="9" xfId="0" applyFont="1" applyFill="1" applyBorder="1" applyAlignment="1">
      <alignment horizontal="center"/>
    </xf>
    <xf numFmtId="0" fontId="5" fillId="0" borderId="3" xfId="0" applyFont="1" applyBorder="1"/>
    <xf numFmtId="0" fontId="5" fillId="20" borderId="3" xfId="0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/>
    </xf>
    <xf numFmtId="0" fontId="5" fillId="28" borderId="3" xfId="0" applyFont="1" applyFill="1" applyBorder="1" applyAlignment="1">
      <alignment horizontal="center"/>
    </xf>
    <xf numFmtId="0" fontId="14" fillId="28" borderId="3" xfId="0" applyFont="1" applyFill="1" applyBorder="1" applyAlignment="1">
      <alignment horizontal="center"/>
    </xf>
    <xf numFmtId="0" fontId="5" fillId="28" borderId="4" xfId="0" applyFont="1" applyFill="1" applyBorder="1" applyAlignment="1">
      <alignment horizontal="center"/>
    </xf>
    <xf numFmtId="0" fontId="11" fillId="25" borderId="2" xfId="0" applyFont="1" applyFill="1" applyBorder="1" applyAlignment="1">
      <alignment horizontal="center"/>
    </xf>
    <xf numFmtId="0" fontId="9" fillId="19" borderId="15" xfId="0" applyFont="1" applyFill="1" applyBorder="1" applyAlignment="1">
      <alignment horizontal="center"/>
    </xf>
    <xf numFmtId="0" fontId="5" fillId="24" borderId="9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ikiwiki.jp/megido72/%E3%82%AA%E3%83%AA%E3%82%A2%E3%82%B9%EF%BC%88%E3%82%AB%E3%82%A6%E3%83%B3%E3%82%BF%E3%83%BC%EF%BC%89" TargetMode="External"/><Relationship Id="rId21" Type="http://schemas.openxmlformats.org/officeDocument/2006/relationships/hyperlink" Target="https://wikiwiki.jp/megido72/%E3%82%B0%E3%82%B7%E3%82%AA%E3%83%B3%EF%BC%88%E3%83%90%E3%83%BC%E3%82%B9%E3%83%88%EF%BC%89" TargetMode="External"/><Relationship Id="rId63" Type="http://schemas.openxmlformats.org/officeDocument/2006/relationships/hyperlink" Target="https://wikiwiki.jp/megido72/%E3%82%A2%E3%82%B9%E3%83%A2%E3%83%87%E3%82%A6%E3%82%B9%EF%BC%88%E3%83%A9%E3%83%83%E3%82%B7%E3%83%A5%EF%BC%89" TargetMode="External"/><Relationship Id="rId159" Type="http://schemas.openxmlformats.org/officeDocument/2006/relationships/hyperlink" Target="https://wikiwiki.jp/megido72/%E3%83%AD%E3%82%AD%EF%BC%88%E3%83%A9%E3%83%83%E3%82%B7%E3%83%A5%EF%BC%89" TargetMode="External"/><Relationship Id="rId170" Type="http://schemas.openxmlformats.org/officeDocument/2006/relationships/hyperlink" Target="https://wikiwiki.jp/megido72/%E3%82%B5%E3%83%A9%EF%BC%88%E3%83%90%E3%83%BC%E3%82%B9%E3%83%88%EF%BC%89" TargetMode="External"/><Relationship Id="rId226" Type="http://schemas.openxmlformats.org/officeDocument/2006/relationships/hyperlink" Target="https://wikiwiki.jp/megido72/%E3%83%99%E3%83%90%E3%83%AB%EF%BC%88%E3%82%AB%E3%82%A6%E3%83%B3%E3%82%BF%E3%83%BC%EF%BC%89" TargetMode="External"/><Relationship Id="rId268" Type="http://schemas.openxmlformats.org/officeDocument/2006/relationships/hyperlink" Target="https://wikiwiki.jp/megido72/%E3%83%81%E3%83%A5%E3%83%BC%E3%83%81%E3%83%A3%E3%82%AA" TargetMode="External"/><Relationship Id="rId11" Type="http://schemas.openxmlformats.org/officeDocument/2006/relationships/hyperlink" Target="https://wikiwiki.jp/megido72/%E3%82%A6%E3%82%A1%E3%83%AC%E3%83%95%E3%82%A9%E3%83%AB%EF%BC%88%E3%82%AB%E3%82%A6%E3%83%B3%E3%82%BF%E3%83%BC%EF%BC%89" TargetMode="External"/><Relationship Id="rId32" Type="http://schemas.openxmlformats.org/officeDocument/2006/relationships/hyperlink" Target="https://wikiwiki.jp/megido72/%E3%82%BC%E3%83%91%E3%83%AB" TargetMode="External"/><Relationship Id="rId53" Type="http://schemas.openxmlformats.org/officeDocument/2006/relationships/hyperlink" Target="https://wikiwiki.jp/megido72/%E3%83%AD%E3%83%8E%E3%82%A6%E3%82%A7%EF%BC%88%E3%83%A9%E3%83%83%E3%82%B7%E3%83%A5%EF%BC%89" TargetMode="External"/><Relationship Id="rId74" Type="http://schemas.openxmlformats.org/officeDocument/2006/relationships/hyperlink" Target="https://wikiwiki.jp/megido72/%E3%83%95%E3%82%A7%E3%83%8B%E3%83%83%E3%82%AF%E3%82%B9" TargetMode="External"/><Relationship Id="rId128" Type="http://schemas.openxmlformats.org/officeDocument/2006/relationships/hyperlink" Target="https://wikiwiki.jp/megido72/%E3%83%95%E3%83%A9%E3%82%A6%E3%83%AD%E3%82%B9" TargetMode="External"/><Relationship Id="rId149" Type="http://schemas.openxmlformats.org/officeDocument/2006/relationships/hyperlink" Target="https://wikiwiki.jp/megido72/%E3%82%B5%E3%82%AD%E3%83%A5%E3%83%90%E3%82%B9%EF%BC%88%E3%83%90%E3%83%BC%E3%82%B9%E3%83%88%EF%BC%89" TargetMode="External"/><Relationship Id="rId5" Type="http://schemas.openxmlformats.org/officeDocument/2006/relationships/hyperlink" Target="https://wikiwiki.jp/megido72/%E3%82%A6%E3%82%A1%E3%82%B5%E3%82%B4%EF%BC%88%E3%83%90%E3%83%BC%E3%82%B9%E3%83%88%EF%BC%89" TargetMode="External"/><Relationship Id="rId95" Type="http://schemas.openxmlformats.org/officeDocument/2006/relationships/hyperlink" Target="https://wikiwiki.jp/megido72/%E3%83%8F%E3%83%BC%E3%82%B2%E3%83%B3%E3%83%86%E3%82%A3%EF%BC%88%E3%83%90%E3%83%BC%E3%82%B9%E3%83%88%EF%BC%89" TargetMode="External"/><Relationship Id="rId160" Type="http://schemas.openxmlformats.org/officeDocument/2006/relationships/hyperlink" Target="https://wikiwiki.jp/megido72/%E3%83%AD%E3%82%AD" TargetMode="External"/><Relationship Id="rId181" Type="http://schemas.openxmlformats.org/officeDocument/2006/relationships/hyperlink" Target="https://wikiwiki.jp/megido72/%E3%82%A2%E3%83%AA%E3%82%AA%E3%82%AF" TargetMode="External"/><Relationship Id="rId216" Type="http://schemas.openxmlformats.org/officeDocument/2006/relationships/hyperlink" Target="https://wikiwiki.jp/megido72/%E3%82%A2%E3%82%AC%E3%82%B7%E3%82%AA%E3%83%B3" TargetMode="External"/><Relationship Id="rId237" Type="http://schemas.openxmlformats.org/officeDocument/2006/relationships/hyperlink" Target="https://wikiwiki.jp/megido72/%E3%82%B9%E3%82%B3%E3%83%AB%E3%83%99%E3%83%8E%E3%83%88" TargetMode="External"/><Relationship Id="rId258" Type="http://schemas.openxmlformats.org/officeDocument/2006/relationships/hyperlink" Target="https://wikiwiki.jp/megido72/%E3%83%90%E3%83%BC%E3%83%AB%E3%83%99%E3%83%AA%E3%83%88" TargetMode="External"/><Relationship Id="rId22" Type="http://schemas.openxmlformats.org/officeDocument/2006/relationships/hyperlink" Target="https://wikiwiki.jp/megido72/%E3%82%B0%E3%82%B7%E3%82%AA%E3%83%B3" TargetMode="External"/><Relationship Id="rId43" Type="http://schemas.openxmlformats.org/officeDocument/2006/relationships/hyperlink" Target="https://wikiwiki.jp/megido72/%E3%82%A4%E3%83%9D%E3%82%B9%EF%BC%88%E3%82%AB%E3%82%A6%E3%83%B3%E3%82%BF%E3%83%BC%EF%BC%89" TargetMode="External"/><Relationship Id="rId64" Type="http://schemas.openxmlformats.org/officeDocument/2006/relationships/hyperlink" Target="https://wikiwiki.jp/megido72/%E3%82%A2%E3%82%B9%E3%83%A2%E3%83%87%E3%82%A6%E3%82%B9" TargetMode="External"/><Relationship Id="rId118" Type="http://schemas.openxmlformats.org/officeDocument/2006/relationships/hyperlink" Target="https://wikiwiki.jp/megido72/%E3%82%AA%E3%83%AA%E3%82%A2%E3%82%B9" TargetMode="External"/><Relationship Id="rId139" Type="http://schemas.openxmlformats.org/officeDocument/2006/relationships/hyperlink" Target="https://wikiwiki.jp/megido72/%E3%82%BB%E3%83%BC%E3%83%AC%EF%BC%88%E3%83%A9%E3%83%83%E3%82%B7%E3%83%A5%EF%BC%89" TargetMode="External"/><Relationship Id="rId85" Type="http://schemas.openxmlformats.org/officeDocument/2006/relationships/hyperlink" Target="https://wikiwiki.jp/megido72/%E3%82%B5%E3%83%96%E3%83%8A%E3%83%83%E3%82%AF%EF%BC%88%E3%83%90%E3%83%BC%E3%82%B9%E3%83%88%EF%BC%89" TargetMode="External"/><Relationship Id="rId150" Type="http://schemas.openxmlformats.org/officeDocument/2006/relationships/hyperlink" Target="https://wikiwiki.jp/megido72/%E3%82%B5%E3%82%AD%E3%83%A5%E3%83%90%E3%82%B9" TargetMode="External"/><Relationship Id="rId171" Type="http://schemas.openxmlformats.org/officeDocument/2006/relationships/hyperlink" Target="https://wikiwiki.jp/megido72/%E3%82%B5%E3%83%A9" TargetMode="External"/><Relationship Id="rId192" Type="http://schemas.openxmlformats.org/officeDocument/2006/relationships/hyperlink" Target="https://wikiwiki.jp/megido72/%E3%83%9E%E3%83%AB%E3%83%81%E3%83%8D" TargetMode="External"/><Relationship Id="rId206" Type="http://schemas.openxmlformats.org/officeDocument/2006/relationships/hyperlink" Target="https://wikiwiki.jp/megido72/%E3%82%A2%E3%82%AC%E3%83%AA%E3%82%A2%E3%83%AC%E3%83%97%E3%83%88%EF%BC%88%E3%83%A9%E3%83%83%E3%82%B7%E3%83%A5%EF%BC%89" TargetMode="External"/><Relationship Id="rId227" Type="http://schemas.openxmlformats.org/officeDocument/2006/relationships/hyperlink" Target="https://wikiwiki.jp/megido72/%E3%83%99%E3%83%90%E3%83%AB" TargetMode="External"/><Relationship Id="rId248" Type="http://schemas.openxmlformats.org/officeDocument/2006/relationships/hyperlink" Target="https://wikiwiki.jp/megido72/%E3%83%AB%E3%82%B7%E3%83%95%E3%82%A1%E3%83%BC" TargetMode="External"/><Relationship Id="rId269" Type="http://schemas.openxmlformats.org/officeDocument/2006/relationships/hyperlink" Target="https://wikiwiki.jp/megido72/%E3%83%81%E3%83%A6%E3%82%A8%E3%83%B3" TargetMode="External"/><Relationship Id="rId12" Type="http://schemas.openxmlformats.org/officeDocument/2006/relationships/hyperlink" Target="https://wikiwiki.jp/megido72/%E3%82%A6%E3%82%A1%E3%83%AC%E3%83%95%E3%82%A9%E3%83%AB" TargetMode="External"/><Relationship Id="rId33" Type="http://schemas.openxmlformats.org/officeDocument/2006/relationships/hyperlink" Target="https://wikiwiki.jp/megido72/%E3%83%9C%E3%83%86%E3%82%A3%E3%82%B9%EF%BC%88%E3%83%A9%E3%83%83%E3%82%B7%E3%83%A5%EF%BC%89" TargetMode="External"/><Relationship Id="rId108" Type="http://schemas.openxmlformats.org/officeDocument/2006/relationships/hyperlink" Target="https://wikiwiki.jp/megido72/%E3%83%A0%E3%83%AB%E3%83%A0%E3%83%AB" TargetMode="External"/><Relationship Id="rId129" Type="http://schemas.openxmlformats.org/officeDocument/2006/relationships/hyperlink" Target="https://wikiwiki.jp/megido72/%E3%82%A2%E3%83%B3%E3%83%89%E3%83%AC%E3%82%A2%E3%83%AB%E3%83%95%E3%82%B9%EF%BC%88%E3%82%AB%E3%82%A6%E3%83%B3%E3%82%BF%E3%83%BC%EF%BC%89" TargetMode="External"/><Relationship Id="rId54" Type="http://schemas.openxmlformats.org/officeDocument/2006/relationships/hyperlink" Target="https://wikiwiki.jp/megido72/%E3%83%AD%E3%83%8E%E3%82%A6%E3%82%A7" TargetMode="External"/><Relationship Id="rId75" Type="http://schemas.openxmlformats.org/officeDocument/2006/relationships/hyperlink" Target="https://wikiwiki.jp/megido72/%E3%83%8F%E3%83%AB%E3%83%95%E3%82%A1%E3%82%B9%EF%BC%88%E3%83%A9%E3%83%83%E3%82%B7%E3%83%A5%EF%BC%89" TargetMode="External"/><Relationship Id="rId96" Type="http://schemas.openxmlformats.org/officeDocument/2006/relationships/hyperlink" Target="https://wikiwiki.jp/megido72/%E3%83%8F%E3%83%BC%E3%82%B2%E3%83%B3%E3%83%86%E3%82%A3" TargetMode="External"/><Relationship Id="rId140" Type="http://schemas.openxmlformats.org/officeDocument/2006/relationships/hyperlink" Target="https://wikiwiki.jp/megido72/%E3%82%BB%E3%83%BC%E3%83%AC" TargetMode="External"/><Relationship Id="rId161" Type="http://schemas.openxmlformats.org/officeDocument/2006/relationships/hyperlink" Target="https://wikiwiki.jp/megido72/%E3%82%A4%E3%83%B3%E3%82%AD%E3%83%A5%E3%83%90%E3%82%B9%EF%BC%88%E3%82%AB%E3%82%A6%E3%83%B3%E3%82%BF%E3%83%BC%EF%BC%89" TargetMode="External"/><Relationship Id="rId182" Type="http://schemas.openxmlformats.org/officeDocument/2006/relationships/hyperlink" Target="https://wikiwiki.jp/megido72/%E3%83%AA%E3%83%B4%E3%82%A1%E3%82%A4%E3%82%A2%E3%82%B5%E3%83%B3" TargetMode="External"/><Relationship Id="rId217" Type="http://schemas.openxmlformats.org/officeDocument/2006/relationships/hyperlink" Target="https://wikiwiki.jp/megido72/%E3%83%B4%E3%82%A7%E3%83%AB%E3%83%89%E3%83%AC" TargetMode="External"/><Relationship Id="rId6" Type="http://schemas.openxmlformats.org/officeDocument/2006/relationships/hyperlink" Target="https://wikiwiki.jp/megido72/%E3%82%A6%E3%82%A1%E3%82%B5%E3%82%B4" TargetMode="External"/><Relationship Id="rId238" Type="http://schemas.openxmlformats.org/officeDocument/2006/relationships/hyperlink" Target="https://wikiwiki.jp/megido72/%E3%83%A1%E3%83%AB%E3%82%B3%E3%83%A0" TargetMode="External"/><Relationship Id="rId259" Type="http://schemas.openxmlformats.org/officeDocument/2006/relationships/hyperlink" Target="https://wikiwiki.jp/megido72/%E3%82%A8%E3%82%A6%E3%83%AA%E3%83%8E%E3%83%BC%E3%83%A0" TargetMode="External"/><Relationship Id="rId23" Type="http://schemas.openxmlformats.org/officeDocument/2006/relationships/hyperlink" Target="https://wikiwiki.jp/megido72/%E3%82%B7%E3%83%88%E3%83%AA%E3%83%BC%EF%BC%88%E3%83%A9%E3%83%83%E3%82%B7%E3%83%A5%EF%BC%89" TargetMode="External"/><Relationship Id="rId119" Type="http://schemas.openxmlformats.org/officeDocument/2006/relationships/hyperlink" Target="https://wikiwiki.jp/megido72/%E3%82%A6%E3%82%A1%E3%83%97%E3%83%A9%EF%BC%88%E3%83%A9%E3%83%83%E3%82%B7%E3%83%A5%EF%BC%89" TargetMode="External"/><Relationship Id="rId270" Type="http://schemas.openxmlformats.org/officeDocument/2006/relationships/hyperlink" Target="https://wikiwiki.jp/megido72/%E3%83%B4%E3%83%AA%E3%83%88%E3%83%A9" TargetMode="External"/><Relationship Id="rId44" Type="http://schemas.openxmlformats.org/officeDocument/2006/relationships/hyperlink" Target="https://wikiwiki.jp/megido72/%E3%82%A4%E3%83%9D%E3%82%B9" TargetMode="External"/><Relationship Id="rId65" Type="http://schemas.openxmlformats.org/officeDocument/2006/relationships/hyperlink" Target="https://wikiwiki.jp/megido72/%E3%82%AC%E3%83%BC%E3%83%97%EF%BC%88%E3%83%A9%E3%83%83%E3%82%B7%E3%83%A5%EF%BC%89" TargetMode="External"/><Relationship Id="rId86" Type="http://schemas.openxmlformats.org/officeDocument/2006/relationships/hyperlink" Target="https://wikiwiki.jp/megido72/%E3%82%B5%E3%83%96%E3%83%8A%E3%83%83%E3%82%AF" TargetMode="External"/><Relationship Id="rId130" Type="http://schemas.openxmlformats.org/officeDocument/2006/relationships/hyperlink" Target="https://wikiwiki.jp/megido72/%E3%82%A2%E3%83%B3%E3%83%89%E3%83%AC%E3%82%A2%E3%83%AB%E3%83%95%E3%82%B9" TargetMode="External"/><Relationship Id="rId151" Type="http://schemas.openxmlformats.org/officeDocument/2006/relationships/hyperlink" Target="https://wikiwiki.jp/megido72/%E3%83%A6%E3%83%95%E3%82%A3%E3%83%BC%E3%83%AB%EF%BC%88%E3%82%AB%E3%82%A6%E3%83%B3%E3%82%BF%E3%83%BC%EF%BC%89" TargetMode="External"/><Relationship Id="rId172" Type="http://schemas.openxmlformats.org/officeDocument/2006/relationships/hyperlink" Target="https://wikiwiki.jp/megido72/%E3%82%B5%E3%82%BF%E3%83%8A%E3%82%AD%E3%82%A2%EF%BC%88%E3%83%90%E3%83%BC%E3%82%B9%E3%83%88%EF%BC%89" TargetMode="External"/><Relationship Id="rId193" Type="http://schemas.openxmlformats.org/officeDocument/2006/relationships/hyperlink" Target="https://wikiwiki.jp/megido72/%E3%82%A2%E3%82%B6%E3%82%BC%E3%83%AB" TargetMode="External"/><Relationship Id="rId207" Type="http://schemas.openxmlformats.org/officeDocument/2006/relationships/hyperlink" Target="https://wikiwiki.jp/megido72/%E3%82%A2%E3%82%AC%E3%83%AA%E3%82%A2%E3%83%AC%E3%83%97%E3%83%88" TargetMode="External"/><Relationship Id="rId228" Type="http://schemas.openxmlformats.org/officeDocument/2006/relationships/hyperlink" Target="https://wikiwiki.jp/megido72/%E3%82%A2%E3%83%90%E3%83%A9%E3%83%A0%EF%BC%88%E3%82%AB%E3%82%A6%E3%83%B3%E3%82%BF%E3%83%BC%EF%BC%89" TargetMode="External"/><Relationship Id="rId249" Type="http://schemas.openxmlformats.org/officeDocument/2006/relationships/hyperlink" Target="https://wikiwiki.jp/megido72/%E3%83%8D%E3%83%AB%E3%82%AC%E3%83%AB%EF%BC%88%E3%83%90%E3%83%BC%E3%82%B9%E3%83%88%EF%BC%89" TargetMode="External"/><Relationship Id="rId13" Type="http://schemas.openxmlformats.org/officeDocument/2006/relationships/hyperlink" Target="https://wikiwiki.jp/megido72/%E3%82%A2%E3%83%A2%E3%83%B3%EF%BC%88%E3%83%A9%E3%83%83%E3%82%B7%E3%83%A5%EF%BC%89" TargetMode="External"/><Relationship Id="rId109" Type="http://schemas.openxmlformats.org/officeDocument/2006/relationships/hyperlink" Target="https://wikiwiki.jp/megido72/%E3%82%AA%E3%83%AD%E3%83%90%E3%82%B9%EF%BC%88%E3%82%AB%E3%82%A6%E3%83%B3%E3%82%BF%E3%83%BC%EF%BC%89" TargetMode="External"/><Relationship Id="rId260" Type="http://schemas.openxmlformats.org/officeDocument/2006/relationships/hyperlink" Target="https://wikiwiki.jp/megido72/%E3%83%99%E3%83%AB%E3%82%BC%E3%83%96%E3%83%95" TargetMode="External"/><Relationship Id="rId34" Type="http://schemas.openxmlformats.org/officeDocument/2006/relationships/hyperlink" Target="https://wikiwiki.jp/megido72/%E3%83%9C%E3%83%86%E3%82%A3%E3%82%B9" TargetMode="External"/><Relationship Id="rId55" Type="http://schemas.openxmlformats.org/officeDocument/2006/relationships/hyperlink" Target="https://wikiwiki.jp/megido72/%E3%83%99%E3%83%AA%E3%83%88%EF%BC%88%E3%83%90%E3%83%BC%E3%82%B9%E3%83%88%EF%BC%89" TargetMode="External"/><Relationship Id="rId76" Type="http://schemas.openxmlformats.org/officeDocument/2006/relationships/hyperlink" Target="https://wikiwiki.jp/megido72/%E3%83%8F%E3%83%AB%E3%83%95%E3%82%A1%E3%82%B9" TargetMode="External"/><Relationship Id="rId97" Type="http://schemas.openxmlformats.org/officeDocument/2006/relationships/hyperlink" Target="https://wikiwiki.jp/megido72/%E3%82%AF%E3%83%AD%E3%82%B1%E3%83%AB%EF%BC%88%E3%83%A9%E3%83%83%E3%82%B7%E3%83%A5%EF%BC%89" TargetMode="External"/><Relationship Id="rId120" Type="http://schemas.openxmlformats.org/officeDocument/2006/relationships/hyperlink" Target="https://wikiwiki.jp/megido72/%E3%82%A6%E3%82%A1%E3%83%97%E3%83%A9" TargetMode="External"/><Relationship Id="rId141" Type="http://schemas.openxmlformats.org/officeDocument/2006/relationships/hyperlink" Target="https://wikiwiki.jp/megido72/%E3%83%80%E3%83%B3%E3%82%BF%E3%83%AA%E3%82%AA%E3%83%B3%EF%BC%88%E3%83%A9%E3%83%83%E3%82%B7%E3%83%A5%EF%BC%89" TargetMode="External"/><Relationship Id="rId7" Type="http://schemas.openxmlformats.org/officeDocument/2006/relationships/hyperlink" Target="https://wikiwiki.jp/megido72/%E3%82%AC%E3%83%9F%E3%82%B8%E3%83%B3%EF%BC%88%E3%83%90%E3%83%BC%E3%82%B9%E3%83%88%EF%BC%89" TargetMode="External"/><Relationship Id="rId162" Type="http://schemas.openxmlformats.org/officeDocument/2006/relationships/hyperlink" Target="https://wikiwiki.jp/megido72/%E3%82%A4%E3%83%B3%E3%82%AD%E3%83%A5%E3%83%90%E3%82%B9" TargetMode="External"/><Relationship Id="rId183" Type="http://schemas.openxmlformats.org/officeDocument/2006/relationships/hyperlink" Target="https://wikiwiki.jp/megido72/%E3%82%AB%E3%82%B9%E3%83%94%E3%82%A8%E3%83%AB%EF%BC%88%E3%82%AB%E3%82%A6%E3%83%B3%E3%82%BF%E3%83%BC%EF%BC%89" TargetMode="External"/><Relationship Id="rId218" Type="http://schemas.openxmlformats.org/officeDocument/2006/relationships/hyperlink" Target="https://wikiwiki.jp/megido72/%E3%82%A6%E3%83%88%E3%82%A5%E3%83%83%E3%82%AF" TargetMode="External"/><Relationship Id="rId239" Type="http://schemas.openxmlformats.org/officeDocument/2006/relationships/hyperlink" Target="https://wikiwiki.jp/megido72/%E3%83%95%E3%82%A3%E3%83%AD%E3%82%BF%E3%83%8C%E3%82%B9" TargetMode="External"/><Relationship Id="rId250" Type="http://schemas.openxmlformats.org/officeDocument/2006/relationships/hyperlink" Target="https://wikiwiki.jp/megido72/%E3%83%8D%E3%83%AB%E3%82%AC%E3%83%AB" TargetMode="External"/><Relationship Id="rId271" Type="http://schemas.openxmlformats.org/officeDocument/2006/relationships/hyperlink" Target="https://wikiwiki.jp/megido72/%E3%83%95%E3%83%BC%E3%83%AA%E3%83%BC%E3%83%81%E3%83%B3" TargetMode="External"/><Relationship Id="rId24" Type="http://schemas.openxmlformats.org/officeDocument/2006/relationships/hyperlink" Target="https://wikiwiki.jp/megido72/%E3%82%B7%E3%83%88%E3%83%AA%E3%83%BC" TargetMode="External"/><Relationship Id="rId45" Type="http://schemas.openxmlformats.org/officeDocument/2006/relationships/hyperlink" Target="https://wikiwiki.jp/megido72/%E3%82%A2%E3%82%A4%E3%83%A0%EF%BC%88%E3%83%A9%E3%83%83%E3%82%B7%E3%83%A5%EF%BC%89" TargetMode="External"/><Relationship Id="rId66" Type="http://schemas.openxmlformats.org/officeDocument/2006/relationships/hyperlink" Target="https://wikiwiki.jp/megido72/%E3%82%AC%E3%83%BC%E3%83%97" TargetMode="External"/><Relationship Id="rId87" Type="http://schemas.openxmlformats.org/officeDocument/2006/relationships/hyperlink" Target="https://wikiwiki.jp/megido72/%E3%82%B7%E3%83%A3%E3%83%83%E3%82%AF%E3%82%B9%EF%BC%88%E3%83%90%E3%83%BC%E3%82%B9%E3%83%88%EF%BC%89" TargetMode="External"/><Relationship Id="rId110" Type="http://schemas.openxmlformats.org/officeDocument/2006/relationships/hyperlink" Target="https://wikiwiki.jp/megido72/%E3%82%AA%E3%83%AD%E3%83%90%E3%82%B9" TargetMode="External"/><Relationship Id="rId131" Type="http://schemas.openxmlformats.org/officeDocument/2006/relationships/hyperlink" Target="https://wikiwiki.jp/megido72/%E3%82%AD%E3%83%9E%E3%83%AA%E3%82%B9%EF%BC%88%E3%82%AB%E3%82%A6%E3%83%B3%E3%82%BF%E3%83%BC%EF%BC%89" TargetMode="External"/><Relationship Id="rId152" Type="http://schemas.openxmlformats.org/officeDocument/2006/relationships/hyperlink" Target="https://wikiwiki.jp/megido72/%E3%83%A6%E3%83%95%E3%82%A3%E3%83%BC%E3%83%AB" TargetMode="External"/><Relationship Id="rId173" Type="http://schemas.openxmlformats.org/officeDocument/2006/relationships/hyperlink" Target="https://wikiwiki.jp/megido72/%E3%82%B5%E3%82%BF%E3%83%8A%E3%82%AD%E3%82%A2" TargetMode="External"/><Relationship Id="rId194" Type="http://schemas.openxmlformats.org/officeDocument/2006/relationships/hyperlink" Target="https://wikiwiki.jp/megido72/%E3%82%A2%E3%83%AB%E3%83%9E%E3%83%AD%E3%82%B9" TargetMode="External"/><Relationship Id="rId208" Type="http://schemas.openxmlformats.org/officeDocument/2006/relationships/hyperlink" Target="https://wikiwiki.jp/megido72/%E3%82%A6%E3%82%B3%E3%83%90%E3%82%AF" TargetMode="External"/><Relationship Id="rId229" Type="http://schemas.openxmlformats.org/officeDocument/2006/relationships/hyperlink" Target="https://wikiwiki.jp/megido72/%E3%82%A2%E3%83%90%E3%83%A9%E3%83%A0" TargetMode="External"/><Relationship Id="rId240" Type="http://schemas.openxmlformats.org/officeDocument/2006/relationships/hyperlink" Target="https://wikiwiki.jp/megido72/%E3%82%A4%E3%83%B3%E3%83%97%EF%BC%88%E3%83%A9%E3%83%83%E3%82%B7%E3%83%A5%EF%BC%89" TargetMode="External"/><Relationship Id="rId261" Type="http://schemas.openxmlformats.org/officeDocument/2006/relationships/hyperlink" Target="https://wikiwiki.jp/megido72/%E3%82%B5%E3%82%BF%E3%83%B3" TargetMode="External"/><Relationship Id="rId14" Type="http://schemas.openxmlformats.org/officeDocument/2006/relationships/hyperlink" Target="https://wikiwiki.jp/megido72/%E3%82%A2%E3%83%A2%E3%83%B3" TargetMode="External"/><Relationship Id="rId35" Type="http://schemas.openxmlformats.org/officeDocument/2006/relationships/hyperlink" Target="https://wikiwiki.jp/megido72/%E3%83%90%E3%83%86%E3%82%A3%E3%83%B3%EF%BC%88%E3%83%90%E3%83%BC%E3%82%B9%E3%83%88%EF%BC%89" TargetMode="External"/><Relationship Id="rId56" Type="http://schemas.openxmlformats.org/officeDocument/2006/relationships/hyperlink" Target="https://wikiwiki.jp/megido72/%E3%83%99%E3%83%AA%E3%83%88" TargetMode="External"/><Relationship Id="rId77" Type="http://schemas.openxmlformats.org/officeDocument/2006/relationships/hyperlink" Target="https://wikiwiki.jp/megido72/%E3%83%9E%E3%83%AB%E3%83%95%E3%82%A1%E3%82%B9%EF%BC%88%E3%83%90%E3%83%BC%E3%82%B9%E3%83%88%EF%BC%89" TargetMode="External"/><Relationship Id="rId100" Type="http://schemas.openxmlformats.org/officeDocument/2006/relationships/hyperlink" Target="https://wikiwiki.jp/megido72/%E3%83%95%E3%83%AB%E3%82%AB%E3%82%B9" TargetMode="External"/><Relationship Id="rId8" Type="http://schemas.openxmlformats.org/officeDocument/2006/relationships/hyperlink" Target="https://wikiwiki.jp/megido72/%E3%82%AC%E3%83%9F%E3%82%B8%E3%83%B3" TargetMode="External"/><Relationship Id="rId98" Type="http://schemas.openxmlformats.org/officeDocument/2006/relationships/hyperlink" Target="https://wikiwiki.jp/megido72/%E3%82%AF%E3%83%AD%E3%82%B1%E3%83%AB" TargetMode="External"/><Relationship Id="rId121" Type="http://schemas.openxmlformats.org/officeDocument/2006/relationships/hyperlink" Target="https://wikiwiki.jp/megido72/%E3%82%B6%E3%82%AC%E3%83%B3%EF%BC%88%E3%83%A9%E3%83%83%E3%82%B7%E3%83%A5%EF%BC%89" TargetMode="External"/><Relationship Id="rId142" Type="http://schemas.openxmlformats.org/officeDocument/2006/relationships/hyperlink" Target="https://wikiwiki.jp/megido72/%E3%83%80%E3%83%B3%E3%82%BF%E3%83%AA%E3%82%AA%E3%83%B3" TargetMode="External"/><Relationship Id="rId163" Type="http://schemas.openxmlformats.org/officeDocument/2006/relationships/hyperlink" Target="https://wikiwiki.jp/megido72/%E3%82%B0%E3%83%AA%E3%83%9E%E3%83%AB%E3%82%AD%E3%83%B3%EF%BC%88%E3%83%A9%E3%83%83%E3%82%B7%E3%83%A5%EF%BC%89" TargetMode="External"/><Relationship Id="rId184" Type="http://schemas.openxmlformats.org/officeDocument/2006/relationships/hyperlink" Target="https://wikiwiki.jp/megido72/%E3%82%AB%E3%82%B9%E3%83%94%E3%82%A8%E3%83%AB" TargetMode="External"/><Relationship Id="rId219" Type="http://schemas.openxmlformats.org/officeDocument/2006/relationships/hyperlink" Target="https://wikiwiki.jp/megido72/%E3%82%B5%E3%82%BF%E3%83%8A%E3%82%A4%E3%83%AB" TargetMode="External"/><Relationship Id="rId230" Type="http://schemas.openxmlformats.org/officeDocument/2006/relationships/hyperlink" Target="https://wikiwiki.jp/megido72/%E3%82%A2%E3%83%AA%E3%83%88%E3%83%B3" TargetMode="External"/><Relationship Id="rId251" Type="http://schemas.openxmlformats.org/officeDocument/2006/relationships/hyperlink" Target="https://wikiwiki.jp/megido72/%E3%83%90%E3%83%BC%E3%83%AB%E3%82%BC%E3%83%95%E3%82%A9%E3%83%B3%EF%BC%88%E3%82%AB%E3%82%A6%E3%83%B3%E3%82%BF%E3%83%BC%EF%BC%89" TargetMode="External"/><Relationship Id="rId25" Type="http://schemas.openxmlformats.org/officeDocument/2006/relationships/hyperlink" Target="https://wikiwiki.jp/megido72/%E3%83%99%E3%83%AC%E3%83%88%EF%BC%88%E3%83%90%E3%83%BC%E3%82%B9%E3%83%88%EF%BC%89" TargetMode="External"/><Relationship Id="rId46" Type="http://schemas.openxmlformats.org/officeDocument/2006/relationships/hyperlink" Target="https://wikiwiki.jp/megido72/%E3%82%A2%E3%82%A4%E3%83%A0" TargetMode="External"/><Relationship Id="rId67" Type="http://schemas.openxmlformats.org/officeDocument/2006/relationships/hyperlink" Target="https://wikiwiki.jp/megido72/%E3%83%95%E3%83%AB%E3%83%95%E3%83%AB%EF%BC%88%E3%82%AB%E3%82%A6%E3%83%B3%E3%82%BF%E3%83%BC%EF%BC%89" TargetMode="External"/><Relationship Id="rId272" Type="http://schemas.openxmlformats.org/officeDocument/2006/relationships/hyperlink" Target="https://wikiwiki.jp/megido72/%E3%82%A2%E3%83%B3%E3%83%80%E3%82%AB" TargetMode="External"/><Relationship Id="rId88" Type="http://schemas.openxmlformats.org/officeDocument/2006/relationships/hyperlink" Target="https://wikiwiki.jp/megido72/%E3%82%B7%E3%83%A3%E3%83%83%E3%82%AF%E3%82%B9" TargetMode="External"/><Relationship Id="rId111" Type="http://schemas.openxmlformats.org/officeDocument/2006/relationships/hyperlink" Target="https://wikiwiki.jp/megido72/%E3%82%B0%E3%83%AC%E3%83%A2%E3%83%AA%E3%83%BC%EF%BC%88%E3%83%A9%E3%83%83%E3%82%B7%E3%83%A5%EF%BC%89" TargetMode="External"/><Relationship Id="rId132" Type="http://schemas.openxmlformats.org/officeDocument/2006/relationships/hyperlink" Target="https://wikiwiki.jp/megido72/%E3%82%AD%E3%83%9E%E3%83%AA%E3%82%B9" TargetMode="External"/><Relationship Id="rId153" Type="http://schemas.openxmlformats.org/officeDocument/2006/relationships/hyperlink" Target="https://wikiwiki.jp/megido72/%E3%83%95%E3%83%AA%E3%82%A2%E3%82%A8%EF%BC%88%E3%83%A9%E3%83%83%E3%82%B7%E3%83%A5%EF%BC%89" TargetMode="External"/><Relationship Id="rId174" Type="http://schemas.openxmlformats.org/officeDocument/2006/relationships/hyperlink" Target="https://wikiwiki.jp/megido72/%E3%82%BF%E3%83%8A%E3%83%88%E3%82%B9" TargetMode="External"/><Relationship Id="rId195" Type="http://schemas.openxmlformats.org/officeDocument/2006/relationships/hyperlink" Target="https://wikiwiki.jp/megido72/%E3%83%90%E3%83%A9%E3%82%AD%E3%82%A8%E3%83%AB" TargetMode="External"/><Relationship Id="rId209" Type="http://schemas.openxmlformats.org/officeDocument/2006/relationships/hyperlink" Target="https://wikiwiki.jp/megido72/%E3%82%B0%E3%82%B6%E3%83%95%E3%82%A1%E3%83%B3" TargetMode="External"/><Relationship Id="rId220" Type="http://schemas.openxmlformats.org/officeDocument/2006/relationships/hyperlink" Target="https://wikiwiki.jp/megido72/%E3%82%B7%E3%83%A3%E3%83%9F%E3%83%8F%E3%82%B6%EF%BC%88%E3%83%A9%E3%83%83%E3%82%B7%E3%83%A5%EF%BC%89" TargetMode="External"/><Relationship Id="rId241" Type="http://schemas.openxmlformats.org/officeDocument/2006/relationships/hyperlink" Target="https://wikiwiki.jp/megido72/%E3%82%A4%E3%83%B3%E3%83%97" TargetMode="External"/><Relationship Id="rId15" Type="http://schemas.openxmlformats.org/officeDocument/2006/relationships/hyperlink" Target="https://wikiwiki.jp/megido72/%E3%83%90%E3%83%AB%E3%83%90%E3%83%88%E3%82%B9%EF%BC%88%E3%83%A9%E3%83%83%E3%82%B7%E3%83%A5%EF%BC%89" TargetMode="External"/><Relationship Id="rId36" Type="http://schemas.openxmlformats.org/officeDocument/2006/relationships/hyperlink" Target="https://wikiwiki.jp/megido72/%E3%83%90%E3%83%86%E3%82%A3%E3%83%B3" TargetMode="External"/><Relationship Id="rId57" Type="http://schemas.openxmlformats.org/officeDocument/2006/relationships/hyperlink" Target="https://wikiwiki.jp/megido72/%E3%82%A2%E3%82%B9%E3%82%BF%E3%83%AD%E3%83%88%EF%BC%88%E3%83%90%E3%83%BC%E3%82%B9%E3%83%88%EF%BC%89" TargetMode="External"/><Relationship Id="rId262" Type="http://schemas.openxmlformats.org/officeDocument/2006/relationships/hyperlink" Target="https://wikiwiki.jp/megido72/%E3%83%A2%E3%83%AC%E3%82%AF" TargetMode="External"/><Relationship Id="rId78" Type="http://schemas.openxmlformats.org/officeDocument/2006/relationships/hyperlink" Target="https://wikiwiki.jp/megido72/%E3%83%9E%E3%83%AB%E3%83%95%E3%82%A1%E3%82%B9" TargetMode="External"/><Relationship Id="rId99" Type="http://schemas.openxmlformats.org/officeDocument/2006/relationships/hyperlink" Target="https://wikiwiki.jp/megido72/%E3%83%95%E3%83%AB%E3%82%AB%E3%82%B9%EF%BC%88%E3%82%AB%E3%82%A6%E3%83%B3%E3%82%BF%E3%83%BC%EF%BC%89" TargetMode="External"/><Relationship Id="rId101" Type="http://schemas.openxmlformats.org/officeDocument/2006/relationships/hyperlink" Target="https://wikiwiki.jp/megido72/%E3%83%90%E3%83%A9%E3%83%A0%EF%BC%88%E3%83%A9%E3%83%83%E3%82%B7%E3%83%A5%EF%BC%89" TargetMode="External"/><Relationship Id="rId122" Type="http://schemas.openxmlformats.org/officeDocument/2006/relationships/hyperlink" Target="https://wikiwiki.jp/megido72/%E3%82%B6%E3%82%AC%E3%83%B3" TargetMode="External"/><Relationship Id="rId143" Type="http://schemas.openxmlformats.org/officeDocument/2006/relationships/hyperlink" Target="https://wikiwiki.jp/megido72/%E3%82%A2%E3%83%B3%E3%83%89%E3%83%AD%E3%83%9E%E3%83%AA%E3%82%A6%E3%82%B9%EF%BC%88%E3%82%AB%E3%82%A6%E3%83%B3%E3%82%BF%E3%83%BC%EF%BC%89" TargetMode="External"/><Relationship Id="rId164" Type="http://schemas.openxmlformats.org/officeDocument/2006/relationships/hyperlink" Target="https://wikiwiki.jp/megido72/%E3%82%B0%E3%83%AA%E3%83%9E%E3%83%AB%E3%82%AD%E3%83%B3" TargetMode="External"/><Relationship Id="rId185" Type="http://schemas.openxmlformats.org/officeDocument/2006/relationships/hyperlink" Target="https://wikiwiki.jp/megido72/%E3%83%8D%E3%83%95%E3%82%A3%E3%83%AA%E3%83%A0%EF%BC%88%E3%83%90%E3%83%BC%E3%82%B9%E3%83%88%EF%BC%89" TargetMode="External"/><Relationship Id="rId9" Type="http://schemas.openxmlformats.org/officeDocument/2006/relationships/hyperlink" Target="https://wikiwiki.jp/megido72/%E3%83%9E%E3%83%AB%E3%83%90%E3%82%B9%EF%BC%88%E3%83%A9%E3%83%83%E3%82%B7%E3%83%A5%EF%BC%89" TargetMode="External"/><Relationship Id="rId210" Type="http://schemas.openxmlformats.org/officeDocument/2006/relationships/hyperlink" Target="https://wikiwiki.jp/megido72/%E3%82%A2%E3%83%9E%E3%82%A4%E3%83%A2%E3%83%B3%EF%BC%88%E3%83%A9%E3%83%83%E3%82%B7%E3%83%A5%EF%BC%89" TargetMode="External"/><Relationship Id="rId26" Type="http://schemas.openxmlformats.org/officeDocument/2006/relationships/hyperlink" Target="https://wikiwiki.jp/megido72/%E3%83%99%E3%83%AC%E3%83%88" TargetMode="External"/><Relationship Id="rId231" Type="http://schemas.openxmlformats.org/officeDocument/2006/relationships/hyperlink" Target="https://wikiwiki.jp/megido72/%E3%83%90%E3%83%AD%E3%83%BC%E3%83%AB" TargetMode="External"/><Relationship Id="rId252" Type="http://schemas.openxmlformats.org/officeDocument/2006/relationships/hyperlink" Target="https://wikiwiki.jp/megido72/%E3%83%90%E3%83%BC%E3%83%AB%E3%82%BC%E3%83%95%E3%82%A9%E3%83%B3" TargetMode="External"/><Relationship Id="rId47" Type="http://schemas.openxmlformats.org/officeDocument/2006/relationships/hyperlink" Target="https://wikiwiki.jp/megido72/%E3%83%8A%E3%83%99%E3%83%AA%E3%82%A6%E3%82%B9%EF%BC%88%E3%83%90%E3%83%BC%E3%82%B9%E3%83%88%EF%BC%89" TargetMode="External"/><Relationship Id="rId68" Type="http://schemas.openxmlformats.org/officeDocument/2006/relationships/hyperlink" Target="https://wikiwiki.jp/megido72/%E3%83%95%E3%83%AB%E3%83%95%E3%83%AB" TargetMode="External"/><Relationship Id="rId89" Type="http://schemas.openxmlformats.org/officeDocument/2006/relationships/hyperlink" Target="https://wikiwiki.jp/megido72/%E3%83%B4%E3%82%A3%E3%83%8D%EF%BC%88%E3%83%A9%E3%83%83%E3%82%B7%E3%83%A5%EF%BC%89" TargetMode="External"/><Relationship Id="rId112" Type="http://schemas.openxmlformats.org/officeDocument/2006/relationships/hyperlink" Target="https://wikiwiki.jp/megido72/%E3%82%B0%E3%83%AC%E3%83%A2%E3%83%AA%E3%83%BC" TargetMode="External"/><Relationship Id="rId133" Type="http://schemas.openxmlformats.org/officeDocument/2006/relationships/hyperlink" Target="https://wikiwiki.jp/megido72/%E3%82%A2%E3%83%A0%E3%83%89%E3%82%A5%E3%82%B9%E3%82%AD%E3%82%A2%E3%82%B9%EF%BC%88%E3%83%90%E3%83%BC%E3%82%B9%E3%83%88%EF%BC%89" TargetMode="External"/><Relationship Id="rId154" Type="http://schemas.openxmlformats.org/officeDocument/2006/relationships/hyperlink" Target="https://wikiwiki.jp/megido72/%E3%83%95%E3%83%AA%E3%82%A2%E3%82%A8" TargetMode="External"/><Relationship Id="rId175" Type="http://schemas.openxmlformats.org/officeDocument/2006/relationships/hyperlink" Target="https://wikiwiki.jp/megido72/%E3%83%86%E3%82%A3%E3%82%A2%E3%83%9E%E3%83%88%EF%BC%88%E3%83%A9%E3%83%83%E3%82%B7%E3%83%A5%EF%BC%89" TargetMode="External"/><Relationship Id="rId196" Type="http://schemas.openxmlformats.org/officeDocument/2006/relationships/hyperlink" Target="https://wikiwiki.jp/megido72/%E3%83%95%E3%83%AB%E3%83%BC%E3%83%AC%E3%83%86%E3%82%A3%EF%BC%88%E3%83%90%E3%83%BC%E3%82%B9%E3%83%88%EF%BC%89" TargetMode="External"/><Relationship Id="rId200" Type="http://schemas.openxmlformats.org/officeDocument/2006/relationships/hyperlink" Target="https://wikiwiki.jp/megido72/%E3%83%8F%E3%83%83%E3%82%AF" TargetMode="External"/><Relationship Id="rId16" Type="http://schemas.openxmlformats.org/officeDocument/2006/relationships/hyperlink" Target="https://wikiwiki.jp/megido72/%E3%83%90%E3%83%AB%E3%83%90%E3%83%88%E3%82%B9" TargetMode="External"/><Relationship Id="rId221" Type="http://schemas.openxmlformats.org/officeDocument/2006/relationships/hyperlink" Target="https://wikiwiki.jp/megido72/%E3%82%B7%E3%83%A3%E3%83%9F%E3%83%8F%E3%82%B6" TargetMode="External"/><Relationship Id="rId242" Type="http://schemas.openxmlformats.org/officeDocument/2006/relationships/hyperlink" Target="https://wikiwiki.jp/megido72/%E3%82%A2%E3%83%9E%E3%82%BC%E3%83%AD%E3%83%88%EF%BC%88%E3%83%90%E3%83%BC%E3%82%B9%E3%83%88%EF%BC%89" TargetMode="External"/><Relationship Id="rId263" Type="http://schemas.openxmlformats.org/officeDocument/2006/relationships/hyperlink" Target="https://wikiwiki.jp/megido72/%E3%82%AB%E3%82%AC%E3%82%BB%E3%82%AA" TargetMode="External"/><Relationship Id="rId37" Type="http://schemas.openxmlformats.org/officeDocument/2006/relationships/hyperlink" Target="https://wikiwiki.jp/megido72/%E3%82%B5%E3%83%AC%E3%82%AA%E3%82%B9%EF%BC%88%E3%82%AB%E3%82%A6%E3%83%B3%E3%82%BF%E3%83%BC%EF%BC%89" TargetMode="External"/><Relationship Id="rId58" Type="http://schemas.openxmlformats.org/officeDocument/2006/relationships/hyperlink" Target="https://wikiwiki.jp/megido72/%E3%82%A2%E3%82%B9%E3%82%BF%E3%83%AD%E3%83%88" TargetMode="External"/><Relationship Id="rId79" Type="http://schemas.openxmlformats.org/officeDocument/2006/relationships/hyperlink" Target="https://wikiwiki.jp/megido72/%E3%83%A9%E3%82%A6%E3%83%A0%EF%BC%88%E3%82%AB%E3%82%A6%E3%83%B3%E3%82%BF%E3%83%BC%EF%BC%89" TargetMode="External"/><Relationship Id="rId102" Type="http://schemas.openxmlformats.org/officeDocument/2006/relationships/hyperlink" Target="https://wikiwiki.jp/megido72/%E3%83%90%E3%83%A9%E3%83%A0" TargetMode="External"/><Relationship Id="rId123" Type="http://schemas.openxmlformats.org/officeDocument/2006/relationships/hyperlink" Target="https://wikiwiki.jp/megido72/%E3%82%A6%E3%82%A1%E3%83%A9%E3%82%AF%EF%BC%88%E3%82%AB%E3%82%A6%E3%83%B3%E3%82%BF%E3%83%BC%EF%BC%89" TargetMode="External"/><Relationship Id="rId144" Type="http://schemas.openxmlformats.org/officeDocument/2006/relationships/hyperlink" Target="https://wikiwiki.jp/megido72/%E3%82%A2%E3%83%B3%E3%83%89%E3%83%AD%E3%83%9E%E3%83%AA%E3%82%A6%E3%82%B9" TargetMode="External"/><Relationship Id="rId90" Type="http://schemas.openxmlformats.org/officeDocument/2006/relationships/hyperlink" Target="https://wikiwiki.jp/megido72/%E3%83%B4%E3%82%A3%E3%83%8D" TargetMode="External"/><Relationship Id="rId165" Type="http://schemas.openxmlformats.org/officeDocument/2006/relationships/hyperlink" Target="https://wikiwiki.jp/megido72/%E3%82%B3%E3%83%AB%E3%82%BD%E3%83%B3%EF%BC%88%E3%83%A9%E3%83%83%E3%82%B7%E3%83%A5%EF%BC%89" TargetMode="External"/><Relationship Id="rId186" Type="http://schemas.openxmlformats.org/officeDocument/2006/relationships/hyperlink" Target="https://wikiwiki.jp/megido72/%E3%83%8D%E3%83%95%E3%82%A3%E3%83%AA%E3%83%A0" TargetMode="External"/><Relationship Id="rId211" Type="http://schemas.openxmlformats.org/officeDocument/2006/relationships/hyperlink" Target="https://wikiwiki.jp/megido72/%E3%82%A2%E3%83%9E%E3%82%A4%E3%83%A2%E3%83%B3" TargetMode="External"/><Relationship Id="rId232" Type="http://schemas.openxmlformats.org/officeDocument/2006/relationships/hyperlink" Target="https://wikiwiki.jp/megido72/%E3%83%99%E3%83%92%E3%83%A2%E3%82%B9%EF%BC%88%E3%83%90%E3%83%BC%E3%82%B9%E3%83%88%EF%BC%89" TargetMode="External"/><Relationship Id="rId253" Type="http://schemas.openxmlformats.org/officeDocument/2006/relationships/hyperlink" Target="https://wikiwiki.jp/megido72/%E3%82%A2%E3%82%B9%E3%83%A9%E3%83%95%E3%82%A3%E3%83%AB" TargetMode="External"/><Relationship Id="rId27" Type="http://schemas.openxmlformats.org/officeDocument/2006/relationships/hyperlink" Target="https://wikiwiki.jp/megido72/%E3%83%AC%E3%83%A9%E3%82%B8%E3%82%A7%EF%BC%88%E3%83%A9%E3%83%83%E3%82%B7%E3%83%A5%EF%BC%89" TargetMode="External"/><Relationship Id="rId48" Type="http://schemas.openxmlformats.org/officeDocument/2006/relationships/hyperlink" Target="https://wikiwiki.jp/megido72/%E3%83%8A%E3%83%99%E3%83%AA%E3%82%A6%E3%82%B9" TargetMode="External"/><Relationship Id="rId69" Type="http://schemas.openxmlformats.org/officeDocument/2006/relationships/hyperlink" Target="https://wikiwiki.jp/megido72/%E3%83%9E%E3%83%AB%E3%82%B3%E3%82%B7%E3%82%A2%E3%82%B9%EF%BC%88%E3%83%90%E3%83%BC%E3%82%B9%E3%83%88%EF%BC%89" TargetMode="External"/><Relationship Id="rId113" Type="http://schemas.openxmlformats.org/officeDocument/2006/relationships/hyperlink" Target="https://wikiwiki.jp/megido72/%E3%82%AA%E3%82%BB%EF%BC%88%E3%82%AB%E3%82%A6%E3%83%B3%E3%82%BF%E3%83%BC%EF%BC%89" TargetMode="External"/><Relationship Id="rId134" Type="http://schemas.openxmlformats.org/officeDocument/2006/relationships/hyperlink" Target="https://wikiwiki.jp/megido72/%E3%82%A2%E3%83%A0%E3%83%89%E3%82%A5%E3%82%B9%E3%82%AD%E3%82%A2%E3%82%B9" TargetMode="External"/><Relationship Id="rId80" Type="http://schemas.openxmlformats.org/officeDocument/2006/relationships/hyperlink" Target="https://wikiwiki.jp/megido72/%E3%83%A9%E3%82%A6%E3%83%A0" TargetMode="External"/><Relationship Id="rId155" Type="http://schemas.openxmlformats.org/officeDocument/2006/relationships/hyperlink" Target="https://wikiwiki.jp/megido72/%E3%82%A2%E3%83%A9%E3%82%B9%E3%83%88%E3%83%BC%E3%83%AB%EF%BC%88%E3%83%90%E3%83%BC%E3%82%B9%E3%83%88%EF%BC%89" TargetMode="External"/><Relationship Id="rId176" Type="http://schemas.openxmlformats.org/officeDocument/2006/relationships/hyperlink" Target="https://wikiwiki.jp/megido72/%E3%83%86%E3%82%A3%E3%82%A2%E3%83%9E%E3%83%88" TargetMode="External"/><Relationship Id="rId197" Type="http://schemas.openxmlformats.org/officeDocument/2006/relationships/hyperlink" Target="https://wikiwiki.jp/megido72/%E3%83%95%E3%83%AB%E3%83%BC%E3%83%AC%E3%83%86%E3%82%A3" TargetMode="External"/><Relationship Id="rId201" Type="http://schemas.openxmlformats.org/officeDocument/2006/relationships/hyperlink" Target="https://wikiwiki.jp/megido72/%E3%83%9E%E3%82%B9%E3%83%86%E3%82%A3%E3%83%9E" TargetMode="External"/><Relationship Id="rId222" Type="http://schemas.openxmlformats.org/officeDocument/2006/relationships/hyperlink" Target="https://wikiwiki.jp/megido72/%E3%83%97%E3%83%AB%E3%83%95%E3%83%A9%E3%82%B9%EF%BC%88%E3%83%90%E3%83%BC%E3%82%B9%E3%83%88%EF%BC%89" TargetMode="External"/><Relationship Id="rId243" Type="http://schemas.openxmlformats.org/officeDocument/2006/relationships/hyperlink" Target="https://wikiwiki.jp/megido72/%E3%82%A2%E3%83%9E%E3%82%BC%E3%83%AD%E3%83%88" TargetMode="External"/><Relationship Id="rId264" Type="http://schemas.openxmlformats.org/officeDocument/2006/relationships/hyperlink" Target="https://wikiwiki.jp/megido72/%E3%83%9E%E3%83%8A%E3%83%8A%E3%83%B3%E3%82%AC%E3%83%AB" TargetMode="External"/><Relationship Id="rId17" Type="http://schemas.openxmlformats.org/officeDocument/2006/relationships/hyperlink" Target="https://wikiwiki.jp/megido72/%E3%83%91%E3%82%A4%E3%83%A2%E3%83%B3%EF%BC%88%E3%83%90%E3%83%BC%E3%82%B9%E3%83%88%EF%BC%89" TargetMode="External"/><Relationship Id="rId38" Type="http://schemas.openxmlformats.org/officeDocument/2006/relationships/hyperlink" Target="https://wikiwiki.jp/megido72/%E3%82%B5%E3%83%AC%E3%82%AA%E3%82%B9" TargetMode="External"/><Relationship Id="rId59" Type="http://schemas.openxmlformats.org/officeDocument/2006/relationships/hyperlink" Target="https://wikiwiki.jp/megido72/%E3%83%95%E3%82%A9%E3%83%AB%E3%83%8D%E3%82%A6%E3%82%B9%EF%BC%88%E3%83%90%E3%83%BC%E3%82%B9%E3%83%88%EF%BC%89" TargetMode="External"/><Relationship Id="rId103" Type="http://schemas.openxmlformats.org/officeDocument/2006/relationships/hyperlink" Target="https://wikiwiki.jp/megido72/%E3%82%A2%E3%83%AD%E3%82%B1%E3%83%AB%EF%BC%88%E3%83%A9%E3%83%83%E3%82%B7%E3%83%A5%EF%BC%89" TargetMode="External"/><Relationship Id="rId124" Type="http://schemas.openxmlformats.org/officeDocument/2006/relationships/hyperlink" Target="https://wikiwiki.jp/megido72/%E3%82%A6%E3%82%A1%E3%83%A9%E3%82%AF" TargetMode="External"/><Relationship Id="rId70" Type="http://schemas.openxmlformats.org/officeDocument/2006/relationships/hyperlink" Target="https://wikiwiki.jp/megido72/%E3%83%9E%E3%83%AB%E3%82%B3%E3%82%B7%E3%82%A2%E3%82%B9" TargetMode="External"/><Relationship Id="rId91" Type="http://schemas.openxmlformats.org/officeDocument/2006/relationships/hyperlink" Target="https://wikiwiki.jp/megido72/%E3%83%93%E3%83%95%E3%83%AD%E3%83%B3%E3%82%B9%EF%BC%88%E3%82%AB%E3%82%A6%E3%83%B3%E3%82%BF%E3%83%BC%EF%BC%89" TargetMode="External"/><Relationship Id="rId145" Type="http://schemas.openxmlformats.org/officeDocument/2006/relationships/hyperlink" Target="https://wikiwiki.jp/megido72/%E3%83%AA%E3%83%AA%E3%83%A0%EF%BC%88%E3%83%A9%E3%83%83%E3%82%B7%E3%83%A5%EF%BC%89" TargetMode="External"/><Relationship Id="rId166" Type="http://schemas.openxmlformats.org/officeDocument/2006/relationships/hyperlink" Target="https://wikiwiki.jp/megido72/%E3%82%B3%E3%83%AB%E3%82%BD%E3%83%B3" TargetMode="External"/><Relationship Id="rId187" Type="http://schemas.openxmlformats.org/officeDocument/2006/relationships/hyperlink" Target="https://wikiwiki.jp/megido72/%E3%83%9F%E3%83%8E%E3%82%BD%E3%83%B3" TargetMode="External"/><Relationship Id="rId1" Type="http://schemas.openxmlformats.org/officeDocument/2006/relationships/hyperlink" Target="https://wikiwiki.jp/megido72/%E3%83%90%E3%82%A8%E3%83%AB" TargetMode="External"/><Relationship Id="rId212" Type="http://schemas.openxmlformats.org/officeDocument/2006/relationships/hyperlink" Target="https://wikiwiki.jp/megido72/%E3%83%AB%E3%82%AD%E3%83%95%E3%82%B2%E3%82%B9" TargetMode="External"/><Relationship Id="rId233" Type="http://schemas.openxmlformats.org/officeDocument/2006/relationships/hyperlink" Target="https://wikiwiki.jp/megido72/%E3%83%99%E3%83%92%E3%83%A2%E3%82%B9" TargetMode="External"/><Relationship Id="rId254" Type="http://schemas.openxmlformats.org/officeDocument/2006/relationships/hyperlink" Target="https://wikiwiki.jp/megido72/%E3%82%A2%E3%82%AF%E3%82%A3%E3%82%A8%E3%83%AB%EF%BC%88%E3%83%90%E3%83%BC%E3%82%B9%E3%83%88%EF%BC%89" TargetMode="External"/><Relationship Id="rId28" Type="http://schemas.openxmlformats.org/officeDocument/2006/relationships/hyperlink" Target="https://wikiwiki.jp/megido72/%E3%83%AC%E3%83%A9%E3%82%B8%E3%82%A7" TargetMode="External"/><Relationship Id="rId49" Type="http://schemas.openxmlformats.org/officeDocument/2006/relationships/hyperlink" Target="https://wikiwiki.jp/megido72/%E3%82%B0%E3%83%A9%E3%82%B7%E3%83%A3%E3%83%A9%E3%83%9C%E3%83%A9%E3%82%B9%EF%BC%88%E3%82%AB%E3%82%A6%E3%83%B3%E3%82%BF%E3%83%BC%EF%BC%89" TargetMode="External"/><Relationship Id="rId114" Type="http://schemas.openxmlformats.org/officeDocument/2006/relationships/hyperlink" Target="https://wikiwiki.jp/megido72/%E3%82%AA%E3%82%BB" TargetMode="External"/><Relationship Id="rId60" Type="http://schemas.openxmlformats.org/officeDocument/2006/relationships/hyperlink" Target="https://wikiwiki.jp/megido72/%E3%83%95%E3%82%A9%E3%83%AB%E3%83%8D%E3%82%A6%E3%82%B9" TargetMode="External"/><Relationship Id="rId81" Type="http://schemas.openxmlformats.org/officeDocument/2006/relationships/hyperlink" Target="https://wikiwiki.jp/megido72/%E3%83%95%E3%82%A9%E3%82%AB%E3%83%AD%E3%83%AB%EF%BC%88%E3%83%A9%E3%83%83%E3%82%B7%E3%83%A5%EF%BC%89" TargetMode="External"/><Relationship Id="rId135" Type="http://schemas.openxmlformats.org/officeDocument/2006/relationships/hyperlink" Target="https://wikiwiki.jp/megido72/%E3%83%99%E3%83%AA%E3%82%A2%E3%83%AB%EF%BC%88%E3%83%90%E3%83%BC%E3%82%B9%E3%83%88%EF%BC%89" TargetMode="External"/><Relationship Id="rId156" Type="http://schemas.openxmlformats.org/officeDocument/2006/relationships/hyperlink" Target="https://wikiwiki.jp/megido72/%E3%82%A2%E3%83%A9%E3%82%B9%E3%83%88%E3%83%BC%E3%83%AB" TargetMode="External"/><Relationship Id="rId177" Type="http://schemas.openxmlformats.org/officeDocument/2006/relationships/hyperlink" Target="https://wikiwiki.jp/megido72/%E3%83%96%E3%83%8B%EF%BC%88%E3%83%90%E3%83%BC%E3%82%B9%E3%83%88%EF%BC%89" TargetMode="External"/><Relationship Id="rId198" Type="http://schemas.openxmlformats.org/officeDocument/2006/relationships/hyperlink" Target="https://wikiwiki.jp/megido72/%E3%82%AC%E3%82%AE%E3%82%BE%E3%83%B3" TargetMode="External"/><Relationship Id="rId202" Type="http://schemas.openxmlformats.org/officeDocument/2006/relationships/hyperlink" Target="https://wikiwiki.jp/megido72/%E3%83%96%E3%83%AA%E3%83%95%E3%82%A9%E3%83%BC" TargetMode="External"/><Relationship Id="rId223" Type="http://schemas.openxmlformats.org/officeDocument/2006/relationships/hyperlink" Target="https://wikiwiki.jp/megido72/%E3%83%97%E3%83%AB%E3%83%95%E3%83%A9%E3%82%B9" TargetMode="External"/><Relationship Id="rId244" Type="http://schemas.openxmlformats.org/officeDocument/2006/relationships/hyperlink" Target="https://wikiwiki.jp/megido72/%E3%83%97%E3%83%AD%E3%83%A1%E3%83%86%E3%82%A6%E3%82%B9%EF%BC%88%E3%82%AB%E3%82%A6%E3%83%B3%E3%82%BF%E3%83%BC%EF%BC%89" TargetMode="External"/><Relationship Id="rId18" Type="http://schemas.openxmlformats.org/officeDocument/2006/relationships/hyperlink" Target="https://wikiwiki.jp/megido72/%E3%83%91%E3%82%A4%E3%83%A2%E3%83%B3" TargetMode="External"/><Relationship Id="rId39" Type="http://schemas.openxmlformats.org/officeDocument/2006/relationships/hyperlink" Target="https://wikiwiki.jp/megido72/%E3%83%97%E3%83%AB%E3%82%BD%E3%83%B3%EF%BC%88%E3%83%90%E3%83%BC%E3%82%B9%E3%83%88%EF%BC%89" TargetMode="External"/><Relationship Id="rId265" Type="http://schemas.openxmlformats.org/officeDocument/2006/relationships/hyperlink" Target="https://wikiwiki.jp/megido72/%E3%82%B7%E3%82%A7%E3%83%B3%E3%82%A6%E3%83%BC" TargetMode="External"/><Relationship Id="rId50" Type="http://schemas.openxmlformats.org/officeDocument/2006/relationships/hyperlink" Target="https://wikiwiki.jp/megido72/%E3%82%B0%E3%83%A9%E3%82%B7%E3%83%A3%E3%83%A9%E3%83%9C%E3%83%A9%E3%82%B9" TargetMode="External"/><Relationship Id="rId104" Type="http://schemas.openxmlformats.org/officeDocument/2006/relationships/hyperlink" Target="https://wikiwiki.jp/megido72/%E3%82%A2%E3%83%AD%E3%82%B1%E3%83%AB" TargetMode="External"/><Relationship Id="rId125" Type="http://schemas.openxmlformats.org/officeDocument/2006/relationships/hyperlink" Target="https://wikiwiki.jp/megido72/%E3%82%A2%E3%83%B3%E3%83%89%E3%83%A9%E3%82%B9%EF%BC%88%E3%82%AB%E3%82%A6%E3%83%B3%E3%82%BF%E3%83%BC%EF%BC%89" TargetMode="External"/><Relationship Id="rId146" Type="http://schemas.openxmlformats.org/officeDocument/2006/relationships/hyperlink" Target="https://wikiwiki.jp/megido72/%E3%83%AA%E3%83%AA%E3%83%A0" TargetMode="External"/><Relationship Id="rId167" Type="http://schemas.openxmlformats.org/officeDocument/2006/relationships/hyperlink" Target="https://wikiwiki.jp/megido72/%E3%82%B8%E3%83%8B%E3%83%9E%E3%83%AB%EF%BC%88%E3%83%A9%E3%83%83%E3%82%B7%E3%83%A5%EF%BC%89" TargetMode="External"/><Relationship Id="rId188" Type="http://schemas.openxmlformats.org/officeDocument/2006/relationships/hyperlink" Target="https://wikiwiki.jp/megido72/%E3%83%8B%E3%82%B9%E3%83%AD%E3%82%AF%EF%BC%88%E3%83%90%E3%83%BC%E3%82%B9%E3%83%88%EF%BC%89" TargetMode="External"/><Relationship Id="rId71" Type="http://schemas.openxmlformats.org/officeDocument/2006/relationships/hyperlink" Target="https://wikiwiki.jp/megido72/%E3%82%B9%E3%83%88%E3%83%A9%E3%82%B9%EF%BC%88%E3%83%A9%E3%83%83%E3%82%B7%E3%83%A5%EF%BC%89" TargetMode="External"/><Relationship Id="rId92" Type="http://schemas.openxmlformats.org/officeDocument/2006/relationships/hyperlink" Target="https://wikiwiki.jp/megido72/%E3%83%93%E3%83%95%E3%83%AD%E3%83%B3%E3%82%B9" TargetMode="External"/><Relationship Id="rId213" Type="http://schemas.openxmlformats.org/officeDocument/2006/relationships/hyperlink" Target="https://wikiwiki.jp/megido72/%E3%82%B5%E3%83%AB%E3%82%AC%E3%82%BF%E3%83%8A%E3%82%B9" TargetMode="External"/><Relationship Id="rId234" Type="http://schemas.openxmlformats.org/officeDocument/2006/relationships/hyperlink" Target="https://wikiwiki.jp/megido72/%E3%83%80%E3%82%B4%E3%83%B3%EF%BC%88%E3%83%A9%E3%83%83%E3%82%B7%E3%83%A5%EF%BC%89" TargetMode="External"/><Relationship Id="rId2" Type="http://schemas.openxmlformats.org/officeDocument/2006/relationships/hyperlink" Target="https://wikiwiki.jp/megido72/%E3%83%90%E3%82%A8%E3%83%AB%EF%BC%88%E3%82%AB%E3%82%A6%E3%83%B3%E3%82%BF%E3%83%BC%EF%BC%89" TargetMode="External"/><Relationship Id="rId29" Type="http://schemas.openxmlformats.org/officeDocument/2006/relationships/hyperlink" Target="https://wikiwiki.jp/megido72/%E3%82%A8%E3%83%AA%E3%82%B4%E3%82%B9%EF%BC%88%E3%83%90%E3%83%BC%E3%82%B9%E3%83%88%EF%BC%89" TargetMode="External"/><Relationship Id="rId255" Type="http://schemas.openxmlformats.org/officeDocument/2006/relationships/hyperlink" Target="https://wikiwiki.jp/megido72/%E3%82%A2%E3%82%AF%E3%82%A3%E3%82%A8%E3%83%AB" TargetMode="External"/><Relationship Id="rId40" Type="http://schemas.openxmlformats.org/officeDocument/2006/relationships/hyperlink" Target="https://wikiwiki.jp/megido72/%E3%83%97%E3%83%AB%E3%82%BD%E3%83%B3" TargetMode="External"/><Relationship Id="rId115" Type="http://schemas.openxmlformats.org/officeDocument/2006/relationships/hyperlink" Target="https://wikiwiki.jp/megido72/%E3%82%A2%E3%83%9F%E3%83%BC%EF%BC%88%E3%82%AB%E3%82%A6%E3%83%B3%E3%82%BF%E3%83%BC%EF%BC%89" TargetMode="External"/><Relationship Id="rId136" Type="http://schemas.openxmlformats.org/officeDocument/2006/relationships/hyperlink" Target="https://wikiwiki.jp/megido72/%E3%83%99%E3%83%AA%E3%82%A2%E3%83%AB" TargetMode="External"/><Relationship Id="rId157" Type="http://schemas.openxmlformats.org/officeDocument/2006/relationships/hyperlink" Target="https://wikiwiki.jp/megido72/%E3%83%92%E3%83%A5%E3%83%88%E3%82%AE%E3%83%B3%EF%BC%88%E3%82%AB%E3%82%A6%E3%83%B3%E3%82%BF%E3%83%BC%EF%BC%89" TargetMode="External"/><Relationship Id="rId178" Type="http://schemas.openxmlformats.org/officeDocument/2006/relationships/hyperlink" Target="https://wikiwiki.jp/megido72/%E3%83%96%E3%83%8B" TargetMode="External"/><Relationship Id="rId61" Type="http://schemas.openxmlformats.org/officeDocument/2006/relationships/hyperlink" Target="https://wikiwiki.jp/megido72/%E3%83%95%E3%82%A9%E3%83%A9%E3%82%B9%EF%BC%88%E3%82%AB%E3%82%A6%E3%83%B3%E3%82%BF%E3%83%BC%EF%BC%89" TargetMode="External"/><Relationship Id="rId82" Type="http://schemas.openxmlformats.org/officeDocument/2006/relationships/hyperlink" Target="https://wikiwiki.jp/megido72/%E3%83%95%E3%82%A9%E3%82%AB%E3%83%AD%E3%83%AB" TargetMode="External"/><Relationship Id="rId199" Type="http://schemas.openxmlformats.org/officeDocument/2006/relationships/hyperlink" Target="https://wikiwiki.jp/megido72/%E3%83%8F%E3%83%83%E3%82%AF%EF%BC%88%E3%83%90%E3%83%BC%E3%82%B9%E3%83%88%EF%BC%89" TargetMode="External"/><Relationship Id="rId203" Type="http://schemas.openxmlformats.org/officeDocument/2006/relationships/hyperlink" Target="https://wikiwiki.jp/megido72/%E3%83%A1%E3%83%95%E3%82%A3%E3%82%B9%E3%83%88%EF%BC%88%E3%82%AB%E3%82%A6%E3%83%B3%E3%82%BF%E3%83%BC%EF%BC%89" TargetMode="External"/><Relationship Id="rId19" Type="http://schemas.openxmlformats.org/officeDocument/2006/relationships/hyperlink" Target="https://wikiwiki.jp/megido72/%E3%83%96%E3%82%A8%E3%83%AB%EF%BC%88%E3%83%A9%E3%83%83%E3%82%B7%E3%83%A5%EF%BC%89" TargetMode="External"/><Relationship Id="rId224" Type="http://schemas.openxmlformats.org/officeDocument/2006/relationships/hyperlink" Target="https://wikiwiki.jp/megido72/%E3%82%B8%E3%82%BA%EF%BC%88%E3%83%A9%E3%83%83%E3%82%B7%E3%83%A5%EF%BC%89" TargetMode="External"/><Relationship Id="rId245" Type="http://schemas.openxmlformats.org/officeDocument/2006/relationships/hyperlink" Target="https://wikiwiki.jp/megido72/%E3%83%97%E3%83%AD%E3%83%A1%E3%83%86%E3%82%A6%E3%82%B9" TargetMode="External"/><Relationship Id="rId266" Type="http://schemas.openxmlformats.org/officeDocument/2006/relationships/hyperlink" Target="https://wikiwiki.jp/megido72/%E3%83%81%E3%83%B3%E3%83%AD%E3%83%B3" TargetMode="External"/><Relationship Id="rId30" Type="http://schemas.openxmlformats.org/officeDocument/2006/relationships/hyperlink" Target="https://wikiwiki.jp/megido72/%E3%82%A8%E3%83%AA%E3%82%B4%E3%82%B9" TargetMode="External"/><Relationship Id="rId105" Type="http://schemas.openxmlformats.org/officeDocument/2006/relationships/hyperlink" Target="https://wikiwiki.jp/megido72/%E3%82%AB%E3%82%A4%E3%83%A0%EF%BC%88%E3%83%90%E3%83%BC%E3%82%B9%E3%83%88%EF%BC%89" TargetMode="External"/><Relationship Id="rId126" Type="http://schemas.openxmlformats.org/officeDocument/2006/relationships/hyperlink" Target="https://wikiwiki.jp/megido72/%E3%82%A2%E3%83%B3%E3%83%89%E3%83%A9%E3%82%B9" TargetMode="External"/><Relationship Id="rId147" Type="http://schemas.openxmlformats.org/officeDocument/2006/relationships/hyperlink" Target="https://wikiwiki.jp/megido72/%E3%83%8B%E3%83%90%E3%82%B9%EF%BC%88%E3%83%90%E3%83%BC%E3%82%B9%E3%83%88%EF%BC%89" TargetMode="External"/><Relationship Id="rId168" Type="http://schemas.openxmlformats.org/officeDocument/2006/relationships/hyperlink" Target="https://wikiwiki.jp/megido72/%E3%82%B8%E3%83%8B%E3%83%9E%E3%83%AB" TargetMode="External"/><Relationship Id="rId51" Type="http://schemas.openxmlformats.org/officeDocument/2006/relationships/hyperlink" Target="https://wikiwiki.jp/megido72/%E3%83%96%E3%83%8D%EF%BC%88%E3%83%90%E3%83%BC%E3%82%B9%E3%83%88%EF%BC%89" TargetMode="External"/><Relationship Id="rId72" Type="http://schemas.openxmlformats.org/officeDocument/2006/relationships/hyperlink" Target="https://wikiwiki.jp/megido72/%E3%82%B9%E3%83%88%E3%83%A9%E3%82%B9" TargetMode="External"/><Relationship Id="rId93" Type="http://schemas.openxmlformats.org/officeDocument/2006/relationships/hyperlink" Target="https://wikiwiki.jp/megido72/%E3%82%A6%E3%83%B4%E3%82%A1%E3%83%AB%EF%BC%88%E3%82%AB%E3%82%A6%E3%83%B3%E3%82%BF%E3%83%BC%EF%BC%89" TargetMode="External"/><Relationship Id="rId189" Type="http://schemas.openxmlformats.org/officeDocument/2006/relationships/hyperlink" Target="https://wikiwiki.jp/megido72/%E3%83%8B%E3%82%B9%E3%83%AD%E3%82%AF" TargetMode="External"/><Relationship Id="rId3" Type="http://schemas.openxmlformats.org/officeDocument/2006/relationships/hyperlink" Target="https://wikiwiki.jp/megido72/%E3%82%A2%E3%82%AC%E3%83%AC%E3%82%B9%EF%BC%88%E3%82%AB%E3%82%A6%E3%83%B3%E3%82%BF%E3%83%BC%EF%BC%89" TargetMode="External"/><Relationship Id="rId214" Type="http://schemas.openxmlformats.org/officeDocument/2006/relationships/hyperlink" Target="https://wikiwiki.jp/megido72/%E3%82%BF%E3%83%A0%E3%82%B9" TargetMode="External"/><Relationship Id="rId235" Type="http://schemas.openxmlformats.org/officeDocument/2006/relationships/hyperlink" Target="https://wikiwiki.jp/megido72/%E3%83%80%E3%82%B4%E3%83%B3" TargetMode="External"/><Relationship Id="rId256" Type="http://schemas.openxmlformats.org/officeDocument/2006/relationships/hyperlink" Target="https://wikiwiki.jp/megido72/%E3%82%B2%E3%82%A4%E3%83%9C%E3%83%AB%E3%82%B0" TargetMode="External"/><Relationship Id="rId116" Type="http://schemas.openxmlformats.org/officeDocument/2006/relationships/hyperlink" Target="https://wikiwiki.jp/megido72/%E3%82%A2%E3%83%9F%E3%83%BC" TargetMode="External"/><Relationship Id="rId137" Type="http://schemas.openxmlformats.org/officeDocument/2006/relationships/hyperlink" Target="https://wikiwiki.jp/megido72/%E3%83%87%E3%82%AB%E3%83%A9%E3%83%93%E3%82%A2%EF%BC%88%E3%83%90%E3%83%BC%E3%82%B9%E3%83%88%EF%BC%89" TargetMode="External"/><Relationship Id="rId158" Type="http://schemas.openxmlformats.org/officeDocument/2006/relationships/hyperlink" Target="https://wikiwiki.jp/megido72/%E3%83%92%E3%83%A5%E3%83%88%E3%82%AE%E3%83%B3" TargetMode="External"/><Relationship Id="rId20" Type="http://schemas.openxmlformats.org/officeDocument/2006/relationships/hyperlink" Target="https://wikiwiki.jp/megido72/%E3%83%96%E3%82%A8%E3%83%AB" TargetMode="External"/><Relationship Id="rId41" Type="http://schemas.openxmlformats.org/officeDocument/2006/relationships/hyperlink" Target="https://wikiwiki.jp/megido72/%E3%83%A2%E3%83%A9%E3%82%AF%E3%82%B9%EF%BC%88%E3%83%A9%E3%83%83%E3%82%B7%E3%83%A5%EF%BC%89" TargetMode="External"/><Relationship Id="rId62" Type="http://schemas.openxmlformats.org/officeDocument/2006/relationships/hyperlink" Target="https://wikiwiki.jp/megido72/%E3%83%95%E3%82%A9%E3%83%A9%E3%82%B9" TargetMode="External"/><Relationship Id="rId83" Type="http://schemas.openxmlformats.org/officeDocument/2006/relationships/hyperlink" Target="https://wikiwiki.jp/megido72/%E3%82%A6%E3%82%A7%E3%83%91%E3%83%AB%EF%BC%88%E3%83%90%E3%83%BC%E3%82%B9%E3%83%88%EF%BC%89" TargetMode="External"/><Relationship Id="rId179" Type="http://schemas.openxmlformats.org/officeDocument/2006/relationships/hyperlink" Target="https://wikiwiki.jp/megido72/%E3%82%AA%E3%83%AA%E3%82%A8%E3%83%B3%E3%82%B9%EF%BC%88%E3%83%90%E3%83%BC%E3%82%B9%E3%83%88%EF%BC%89" TargetMode="External"/><Relationship Id="rId190" Type="http://schemas.openxmlformats.org/officeDocument/2006/relationships/hyperlink" Target="https://wikiwiki.jp/megido72/%E3%82%AA%E3%83%AC%E3%82%A4" TargetMode="External"/><Relationship Id="rId204" Type="http://schemas.openxmlformats.org/officeDocument/2006/relationships/hyperlink" Target="https://wikiwiki.jp/megido72/%E3%83%A1%E3%83%95%E3%82%A3%E3%82%B9%E3%83%88" TargetMode="External"/><Relationship Id="rId225" Type="http://schemas.openxmlformats.org/officeDocument/2006/relationships/hyperlink" Target="https://wikiwiki.jp/megido72/%E3%82%B8%E3%82%BA" TargetMode="External"/><Relationship Id="rId246" Type="http://schemas.openxmlformats.org/officeDocument/2006/relationships/hyperlink" Target="https://wikiwiki.jp/megido72/%E3%83%99%E3%83%AB%E3%83%95%E3%82%A7%E3%82%B4%E3%83%BC%E3%83%AB" TargetMode="External"/><Relationship Id="rId267" Type="http://schemas.openxmlformats.org/officeDocument/2006/relationships/hyperlink" Target="https://wikiwiki.jp/megido72/%E3%83%90%E3%82%A4%E3%83%95%E3%83%BC" TargetMode="External"/><Relationship Id="rId106" Type="http://schemas.openxmlformats.org/officeDocument/2006/relationships/hyperlink" Target="https://wikiwiki.jp/megido72/%E3%82%AB%E3%82%A4%E3%83%A0" TargetMode="External"/><Relationship Id="rId127" Type="http://schemas.openxmlformats.org/officeDocument/2006/relationships/hyperlink" Target="https://wikiwiki.jp/megido72/%E3%83%95%E3%83%A9%E3%82%A6%E3%83%AD%E3%82%B9%EF%BC%88%E3%83%90%E3%83%BC%E3%82%B9%E3%83%88%EF%BC%89" TargetMode="External"/><Relationship Id="rId10" Type="http://schemas.openxmlformats.org/officeDocument/2006/relationships/hyperlink" Target="https://wikiwiki.jp/megido72/%E3%83%9E%E3%83%AB%E3%83%90%E3%82%B9" TargetMode="External"/><Relationship Id="rId31" Type="http://schemas.openxmlformats.org/officeDocument/2006/relationships/hyperlink" Target="https://wikiwiki.jp/megido72/%E3%82%BC%E3%83%91%E3%83%AB%EF%BC%88%E3%82%AB%E3%82%A6%E3%83%B3%E3%82%BF%E3%83%BC%EF%BC%89" TargetMode="External"/><Relationship Id="rId52" Type="http://schemas.openxmlformats.org/officeDocument/2006/relationships/hyperlink" Target="https://wikiwiki.jp/megido72/%E3%83%96%E3%83%8D" TargetMode="External"/><Relationship Id="rId73" Type="http://schemas.openxmlformats.org/officeDocument/2006/relationships/hyperlink" Target="https://wikiwiki.jp/megido72/%E3%83%95%E3%82%A7%E3%83%8B%E3%83%83%E3%82%AF%E3%82%B9%EF%BC%88%E3%82%AB%E3%82%A6%E3%83%B3%E3%82%BF%E3%83%BC%EF%BC%89" TargetMode="External"/><Relationship Id="rId94" Type="http://schemas.openxmlformats.org/officeDocument/2006/relationships/hyperlink" Target="https://wikiwiki.jp/megido72/%E3%82%A6%E3%83%B4%E3%82%A1%E3%83%AB" TargetMode="External"/><Relationship Id="rId148" Type="http://schemas.openxmlformats.org/officeDocument/2006/relationships/hyperlink" Target="https://wikiwiki.jp/megido72/%E3%83%8B%E3%83%90%E3%82%B9" TargetMode="External"/><Relationship Id="rId169" Type="http://schemas.openxmlformats.org/officeDocument/2006/relationships/hyperlink" Target="https://wikiwiki.jp/megido72/%E3%83%90%E3%83%95%E3%82%A9%E3%83%A1%E3%83%83%E3%83%88" TargetMode="External"/><Relationship Id="rId4" Type="http://schemas.openxmlformats.org/officeDocument/2006/relationships/hyperlink" Target="https://wikiwiki.jp/megido72/%E3%82%A2%E3%82%AC%E3%83%AC%E3%82%B9" TargetMode="External"/><Relationship Id="rId180" Type="http://schemas.openxmlformats.org/officeDocument/2006/relationships/hyperlink" Target="https://wikiwiki.jp/megido72/%E3%82%AA%E3%83%AA%E3%82%A8%E3%83%B3%E3%82%B9" TargetMode="External"/><Relationship Id="rId215" Type="http://schemas.openxmlformats.org/officeDocument/2006/relationships/hyperlink" Target="https://wikiwiki.jp/megido72/%E3%83%81%E3%82%A7%E3%83%AB%E3%83%8E%E3%83%9C%E3%82%B0" TargetMode="External"/><Relationship Id="rId236" Type="http://schemas.openxmlformats.org/officeDocument/2006/relationships/hyperlink" Target="https://wikiwiki.jp/megido72/%E3%82%B9%E3%82%B3%E3%83%AB%E3%83%99%E3%83%8E%E3%83%88%EF%BC%88%E3%83%A9%E3%83%83%E3%82%B7%E3%83%A5%EF%BC%89" TargetMode="External"/><Relationship Id="rId257" Type="http://schemas.openxmlformats.org/officeDocument/2006/relationships/hyperlink" Target="https://wikiwiki.jp/megido72/%E3%83%AA%E3%83%AA%E3%82%B9" TargetMode="External"/><Relationship Id="rId42" Type="http://schemas.openxmlformats.org/officeDocument/2006/relationships/hyperlink" Target="https://wikiwiki.jp/megido72/%E3%83%A2%E3%83%A9%E3%82%AF%E3%82%B9" TargetMode="External"/><Relationship Id="rId84" Type="http://schemas.openxmlformats.org/officeDocument/2006/relationships/hyperlink" Target="https://wikiwiki.jp/megido72/%E3%82%A6%E3%82%A7%E3%83%91%E3%83%AB" TargetMode="External"/><Relationship Id="rId138" Type="http://schemas.openxmlformats.org/officeDocument/2006/relationships/hyperlink" Target="https://wikiwiki.jp/megido72/%E3%83%87%E3%82%AB%E3%83%A9%E3%83%93%E3%82%A2" TargetMode="External"/><Relationship Id="rId191" Type="http://schemas.openxmlformats.org/officeDocument/2006/relationships/hyperlink" Target="https://wikiwiki.jp/megido72/%E3%83%9E%E3%83%AB%E3%83%81%E3%83%8D%EF%BC%88%E3%82%AB%E3%82%A6%E3%83%B3%E3%82%BF%E3%83%BC%EF%BC%89" TargetMode="External"/><Relationship Id="rId205" Type="http://schemas.openxmlformats.org/officeDocument/2006/relationships/hyperlink" Target="https://wikiwiki.jp/megido72/%E3%83%8D%E3%83%93%E3%83%AD%E3%82%B9" TargetMode="External"/><Relationship Id="rId247" Type="http://schemas.openxmlformats.org/officeDocument/2006/relationships/hyperlink" Target="https://wikiwiki.jp/megido72/%E3%83%9E%E3%83%A2%E3%83%B3" TargetMode="External"/><Relationship Id="rId107" Type="http://schemas.openxmlformats.org/officeDocument/2006/relationships/hyperlink" Target="https://wikiwiki.jp/megido72/%E3%83%A0%E3%83%AB%E3%83%A0%E3%83%AB%EF%BC%88%E3%82%AB%E3%82%A6%E3%83%B3%E3%82%BF%E3%83%BC%EF%BC%89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ikiwiki.jp/megido72/%E3%82%AA%E3%83%AA%E3%82%A2%E3%82%B9%EF%BC%88%E3%82%AB%E3%82%A6%E3%83%B3%E3%82%BF%E3%83%BC%EF%BC%89" TargetMode="External"/><Relationship Id="rId21" Type="http://schemas.openxmlformats.org/officeDocument/2006/relationships/hyperlink" Target="https://wikiwiki.jp/megido72/%E3%82%B0%E3%82%B7%E3%82%AA%E3%83%B3%EF%BC%88%E3%83%90%E3%83%BC%E3%82%B9%E3%83%88%EF%BC%89" TargetMode="External"/><Relationship Id="rId63" Type="http://schemas.openxmlformats.org/officeDocument/2006/relationships/hyperlink" Target="https://wikiwiki.jp/megido72/%E3%82%A2%E3%82%B9%E3%83%A2%E3%83%87%E3%82%A6%E3%82%B9%EF%BC%88%E3%83%A9%E3%83%83%E3%82%B7%E3%83%A5%EF%BC%89" TargetMode="External"/><Relationship Id="rId159" Type="http://schemas.openxmlformats.org/officeDocument/2006/relationships/hyperlink" Target="https://wikiwiki.jp/megido72/%E3%83%AD%E3%82%AD%EF%BC%88%E3%83%A9%E3%83%83%E3%82%B7%E3%83%A5%EF%BC%89" TargetMode="External"/><Relationship Id="rId170" Type="http://schemas.openxmlformats.org/officeDocument/2006/relationships/hyperlink" Target="https://wikiwiki.jp/megido72/%E3%82%B5%E3%83%A9%EF%BC%88%E3%83%90%E3%83%BC%E3%82%B9%E3%83%88%EF%BC%89" TargetMode="External"/><Relationship Id="rId226" Type="http://schemas.openxmlformats.org/officeDocument/2006/relationships/hyperlink" Target="https://wikiwiki.jp/megido72/%E3%83%99%E3%83%90%E3%83%AB%EF%BC%88%E3%82%AB%E3%82%A6%E3%83%B3%E3%82%BF%E3%83%BC%EF%BC%89" TargetMode="External"/><Relationship Id="rId268" Type="http://schemas.openxmlformats.org/officeDocument/2006/relationships/hyperlink" Target="https://wikiwiki.jp/megido72/%E3%83%81%E3%83%A5%E3%83%BC%E3%83%81%E3%83%A3%E3%82%AA" TargetMode="External"/><Relationship Id="rId11" Type="http://schemas.openxmlformats.org/officeDocument/2006/relationships/hyperlink" Target="https://wikiwiki.jp/megido72/%E3%82%A6%E3%82%A1%E3%83%AC%E3%83%95%E3%82%A9%E3%83%AB%EF%BC%88%E3%82%AB%E3%82%A6%E3%83%B3%E3%82%BF%E3%83%BC%EF%BC%89" TargetMode="External"/><Relationship Id="rId32" Type="http://schemas.openxmlformats.org/officeDocument/2006/relationships/hyperlink" Target="https://wikiwiki.jp/megido72/%E3%82%BC%E3%83%91%E3%83%AB" TargetMode="External"/><Relationship Id="rId53" Type="http://schemas.openxmlformats.org/officeDocument/2006/relationships/hyperlink" Target="https://wikiwiki.jp/megido72/%E3%83%AD%E3%83%8E%E3%82%A6%E3%82%A7%EF%BC%88%E3%83%A9%E3%83%83%E3%82%B7%E3%83%A5%EF%BC%89" TargetMode="External"/><Relationship Id="rId74" Type="http://schemas.openxmlformats.org/officeDocument/2006/relationships/hyperlink" Target="https://wikiwiki.jp/megido72/%E3%83%95%E3%82%A7%E3%83%8B%E3%83%83%E3%82%AF%E3%82%B9" TargetMode="External"/><Relationship Id="rId128" Type="http://schemas.openxmlformats.org/officeDocument/2006/relationships/hyperlink" Target="https://wikiwiki.jp/megido72/%E3%83%95%E3%83%A9%E3%82%A6%E3%83%AD%E3%82%B9" TargetMode="External"/><Relationship Id="rId149" Type="http://schemas.openxmlformats.org/officeDocument/2006/relationships/hyperlink" Target="https://wikiwiki.jp/megido72/%E3%82%B5%E3%82%AD%E3%83%A5%E3%83%90%E3%82%B9%EF%BC%88%E3%83%90%E3%83%BC%E3%82%B9%E3%83%88%EF%BC%89" TargetMode="External"/><Relationship Id="rId5" Type="http://schemas.openxmlformats.org/officeDocument/2006/relationships/hyperlink" Target="https://wikiwiki.jp/megido72/%E3%82%A6%E3%82%A1%E3%82%B5%E3%82%B4%EF%BC%88%E3%83%90%E3%83%BC%E3%82%B9%E3%83%88%EF%BC%89" TargetMode="External"/><Relationship Id="rId95" Type="http://schemas.openxmlformats.org/officeDocument/2006/relationships/hyperlink" Target="https://wikiwiki.jp/megido72/%E3%83%8F%E3%83%BC%E3%82%B2%E3%83%B3%E3%83%86%E3%82%A3%EF%BC%88%E3%83%90%E3%83%BC%E3%82%B9%E3%83%88%EF%BC%89" TargetMode="External"/><Relationship Id="rId160" Type="http://schemas.openxmlformats.org/officeDocument/2006/relationships/hyperlink" Target="https://wikiwiki.jp/megido72/%E3%83%AD%E3%82%AD" TargetMode="External"/><Relationship Id="rId181" Type="http://schemas.openxmlformats.org/officeDocument/2006/relationships/hyperlink" Target="https://wikiwiki.jp/megido72/%E3%82%A2%E3%83%AA%E3%82%AA%E3%82%AF" TargetMode="External"/><Relationship Id="rId216" Type="http://schemas.openxmlformats.org/officeDocument/2006/relationships/hyperlink" Target="https://wikiwiki.jp/megido72/%E3%82%A2%E3%82%AC%E3%82%B7%E3%82%AA%E3%83%B3" TargetMode="External"/><Relationship Id="rId237" Type="http://schemas.openxmlformats.org/officeDocument/2006/relationships/hyperlink" Target="https://wikiwiki.jp/megido72/%E3%82%B9%E3%82%B3%E3%83%AB%E3%83%99%E3%83%8E%E3%83%88" TargetMode="External"/><Relationship Id="rId258" Type="http://schemas.openxmlformats.org/officeDocument/2006/relationships/hyperlink" Target="https://wikiwiki.jp/megido72/%E3%83%90%E3%83%BC%E3%83%AB%E3%83%99%E3%83%AA%E3%83%88" TargetMode="External"/><Relationship Id="rId22" Type="http://schemas.openxmlformats.org/officeDocument/2006/relationships/hyperlink" Target="https://wikiwiki.jp/megido72/%E3%82%B0%E3%82%B7%E3%82%AA%E3%83%B3" TargetMode="External"/><Relationship Id="rId43" Type="http://schemas.openxmlformats.org/officeDocument/2006/relationships/hyperlink" Target="https://wikiwiki.jp/megido72/%E3%82%A4%E3%83%9D%E3%82%B9%EF%BC%88%E3%82%AB%E3%82%A6%E3%83%B3%E3%82%BF%E3%83%BC%EF%BC%89" TargetMode="External"/><Relationship Id="rId64" Type="http://schemas.openxmlformats.org/officeDocument/2006/relationships/hyperlink" Target="https://wikiwiki.jp/megido72/%E3%82%A2%E3%82%B9%E3%83%A2%E3%83%87%E3%82%A6%E3%82%B9" TargetMode="External"/><Relationship Id="rId118" Type="http://schemas.openxmlformats.org/officeDocument/2006/relationships/hyperlink" Target="https://wikiwiki.jp/megido72/%E3%82%AA%E3%83%AA%E3%82%A2%E3%82%B9" TargetMode="External"/><Relationship Id="rId139" Type="http://schemas.openxmlformats.org/officeDocument/2006/relationships/hyperlink" Target="https://wikiwiki.jp/megido72/%E3%82%BB%E3%83%BC%E3%83%AC%EF%BC%88%E3%83%A9%E3%83%83%E3%82%B7%E3%83%A5%EF%BC%89" TargetMode="External"/><Relationship Id="rId85" Type="http://schemas.openxmlformats.org/officeDocument/2006/relationships/hyperlink" Target="https://wikiwiki.jp/megido72/%E3%82%B5%E3%83%96%E3%83%8A%E3%83%83%E3%82%AF%EF%BC%88%E3%83%90%E3%83%BC%E3%82%B9%E3%83%88%EF%BC%89" TargetMode="External"/><Relationship Id="rId150" Type="http://schemas.openxmlformats.org/officeDocument/2006/relationships/hyperlink" Target="https://wikiwiki.jp/megido72/%E3%82%B5%E3%82%AD%E3%83%A5%E3%83%90%E3%82%B9" TargetMode="External"/><Relationship Id="rId171" Type="http://schemas.openxmlformats.org/officeDocument/2006/relationships/hyperlink" Target="https://wikiwiki.jp/megido72/%E3%82%B5%E3%83%A9" TargetMode="External"/><Relationship Id="rId192" Type="http://schemas.openxmlformats.org/officeDocument/2006/relationships/hyperlink" Target="https://wikiwiki.jp/megido72/%E3%83%9E%E3%83%AB%E3%83%81%E3%83%8D" TargetMode="External"/><Relationship Id="rId206" Type="http://schemas.openxmlformats.org/officeDocument/2006/relationships/hyperlink" Target="https://wikiwiki.jp/megido72/%E3%82%A2%E3%82%AC%E3%83%AA%E3%82%A2%E3%83%AC%E3%83%97%E3%83%88%EF%BC%88%E3%83%A9%E3%83%83%E3%82%B7%E3%83%A5%EF%BC%89" TargetMode="External"/><Relationship Id="rId227" Type="http://schemas.openxmlformats.org/officeDocument/2006/relationships/hyperlink" Target="https://wikiwiki.jp/megido72/%E3%83%99%E3%83%90%E3%83%AB" TargetMode="External"/><Relationship Id="rId248" Type="http://schemas.openxmlformats.org/officeDocument/2006/relationships/hyperlink" Target="https://wikiwiki.jp/megido72/%E3%83%AB%E3%82%B7%E3%83%95%E3%82%A1%E3%83%BC" TargetMode="External"/><Relationship Id="rId269" Type="http://schemas.openxmlformats.org/officeDocument/2006/relationships/hyperlink" Target="https://wikiwiki.jp/megido72/%E3%83%81%E3%83%A6%E3%82%A8%E3%83%B3" TargetMode="External"/><Relationship Id="rId12" Type="http://schemas.openxmlformats.org/officeDocument/2006/relationships/hyperlink" Target="https://wikiwiki.jp/megido72/%E3%82%A6%E3%82%A1%E3%83%AC%E3%83%95%E3%82%A9%E3%83%AB" TargetMode="External"/><Relationship Id="rId33" Type="http://schemas.openxmlformats.org/officeDocument/2006/relationships/hyperlink" Target="https://wikiwiki.jp/megido72/%E3%83%9C%E3%83%86%E3%82%A3%E3%82%B9%EF%BC%88%E3%83%A9%E3%83%83%E3%82%B7%E3%83%A5%EF%BC%89" TargetMode="External"/><Relationship Id="rId108" Type="http://schemas.openxmlformats.org/officeDocument/2006/relationships/hyperlink" Target="https://wikiwiki.jp/megido72/%E3%83%A0%E3%83%AB%E3%83%A0%E3%83%AB" TargetMode="External"/><Relationship Id="rId129" Type="http://schemas.openxmlformats.org/officeDocument/2006/relationships/hyperlink" Target="https://wikiwiki.jp/megido72/%E3%82%A2%E3%83%B3%E3%83%89%E3%83%AC%E3%82%A2%E3%83%AB%E3%83%95%E3%82%B9%EF%BC%88%E3%82%AB%E3%82%A6%E3%83%B3%E3%82%BF%E3%83%BC%EF%BC%89" TargetMode="External"/><Relationship Id="rId54" Type="http://schemas.openxmlformats.org/officeDocument/2006/relationships/hyperlink" Target="https://wikiwiki.jp/megido72/%E3%83%AD%E3%83%8E%E3%82%A6%E3%82%A7" TargetMode="External"/><Relationship Id="rId75" Type="http://schemas.openxmlformats.org/officeDocument/2006/relationships/hyperlink" Target="https://wikiwiki.jp/megido72/%E3%83%8F%E3%83%AB%E3%83%95%E3%82%A1%E3%82%B9%EF%BC%88%E3%83%A9%E3%83%83%E3%82%B7%E3%83%A5%EF%BC%89" TargetMode="External"/><Relationship Id="rId96" Type="http://schemas.openxmlformats.org/officeDocument/2006/relationships/hyperlink" Target="https://wikiwiki.jp/megido72/%E3%83%8F%E3%83%BC%E3%82%B2%E3%83%B3%E3%83%86%E3%82%A3" TargetMode="External"/><Relationship Id="rId140" Type="http://schemas.openxmlformats.org/officeDocument/2006/relationships/hyperlink" Target="https://wikiwiki.jp/megido72/%E3%82%BB%E3%83%BC%E3%83%AC" TargetMode="External"/><Relationship Id="rId161" Type="http://schemas.openxmlformats.org/officeDocument/2006/relationships/hyperlink" Target="https://wikiwiki.jp/megido72/%E3%82%A4%E3%83%B3%E3%82%AD%E3%83%A5%E3%83%90%E3%82%B9%EF%BC%88%E3%82%AB%E3%82%A6%E3%83%B3%E3%82%BF%E3%83%BC%EF%BC%89" TargetMode="External"/><Relationship Id="rId182" Type="http://schemas.openxmlformats.org/officeDocument/2006/relationships/hyperlink" Target="https://wikiwiki.jp/megido72/%E3%83%AA%E3%83%B4%E3%82%A1%E3%82%A4%E3%82%A2%E3%82%B5%E3%83%B3" TargetMode="External"/><Relationship Id="rId217" Type="http://schemas.openxmlformats.org/officeDocument/2006/relationships/hyperlink" Target="https://wikiwiki.jp/megido72/%E3%83%B4%E3%82%A7%E3%83%AB%E3%83%89%E3%83%AC" TargetMode="External"/><Relationship Id="rId6" Type="http://schemas.openxmlformats.org/officeDocument/2006/relationships/hyperlink" Target="https://wikiwiki.jp/megido72/%E3%82%A6%E3%82%A1%E3%82%B5%E3%82%B4" TargetMode="External"/><Relationship Id="rId238" Type="http://schemas.openxmlformats.org/officeDocument/2006/relationships/hyperlink" Target="https://wikiwiki.jp/megido72/%E3%83%A1%E3%83%AB%E3%82%B3%E3%83%A0" TargetMode="External"/><Relationship Id="rId259" Type="http://schemas.openxmlformats.org/officeDocument/2006/relationships/hyperlink" Target="https://wikiwiki.jp/megido72/%E3%82%A8%E3%82%A6%E3%83%AA%E3%83%8E%E3%83%BC%E3%83%A0" TargetMode="External"/><Relationship Id="rId23" Type="http://schemas.openxmlformats.org/officeDocument/2006/relationships/hyperlink" Target="https://wikiwiki.jp/megido72/%E3%82%B7%E3%83%88%E3%83%AA%E3%83%BC%EF%BC%88%E3%83%A9%E3%83%83%E3%82%B7%E3%83%A5%EF%BC%89" TargetMode="External"/><Relationship Id="rId119" Type="http://schemas.openxmlformats.org/officeDocument/2006/relationships/hyperlink" Target="https://wikiwiki.jp/megido72/%E3%82%A6%E3%82%A1%E3%83%97%E3%83%A9%EF%BC%88%E3%83%A9%E3%83%83%E3%82%B7%E3%83%A5%EF%BC%89" TargetMode="External"/><Relationship Id="rId270" Type="http://schemas.openxmlformats.org/officeDocument/2006/relationships/hyperlink" Target="https://wikiwiki.jp/megido72/%E3%83%B4%E3%83%AA%E3%83%88%E3%83%A9" TargetMode="External"/><Relationship Id="rId44" Type="http://schemas.openxmlformats.org/officeDocument/2006/relationships/hyperlink" Target="https://wikiwiki.jp/megido72/%E3%82%A4%E3%83%9D%E3%82%B9" TargetMode="External"/><Relationship Id="rId65" Type="http://schemas.openxmlformats.org/officeDocument/2006/relationships/hyperlink" Target="https://wikiwiki.jp/megido72/%E3%82%AC%E3%83%BC%E3%83%97%EF%BC%88%E3%83%A9%E3%83%83%E3%82%B7%E3%83%A5%EF%BC%89" TargetMode="External"/><Relationship Id="rId86" Type="http://schemas.openxmlformats.org/officeDocument/2006/relationships/hyperlink" Target="https://wikiwiki.jp/megido72/%E3%82%B5%E3%83%96%E3%83%8A%E3%83%83%E3%82%AF" TargetMode="External"/><Relationship Id="rId130" Type="http://schemas.openxmlformats.org/officeDocument/2006/relationships/hyperlink" Target="https://wikiwiki.jp/megido72/%E3%82%A2%E3%83%B3%E3%83%89%E3%83%AC%E3%82%A2%E3%83%AB%E3%83%95%E3%82%B9" TargetMode="External"/><Relationship Id="rId151" Type="http://schemas.openxmlformats.org/officeDocument/2006/relationships/hyperlink" Target="https://wikiwiki.jp/megido72/%E3%83%A6%E3%83%95%E3%82%A3%E3%83%BC%E3%83%AB%EF%BC%88%E3%82%AB%E3%82%A6%E3%83%B3%E3%82%BF%E3%83%BC%EF%BC%89" TargetMode="External"/><Relationship Id="rId172" Type="http://schemas.openxmlformats.org/officeDocument/2006/relationships/hyperlink" Target="https://wikiwiki.jp/megido72/%E3%82%B5%E3%82%BF%E3%83%8A%E3%82%AD%E3%82%A2%EF%BC%88%E3%83%90%E3%83%BC%E3%82%B9%E3%83%88%EF%BC%89" TargetMode="External"/><Relationship Id="rId193" Type="http://schemas.openxmlformats.org/officeDocument/2006/relationships/hyperlink" Target="https://wikiwiki.jp/megido72/%E3%82%A2%E3%82%B6%E3%82%BC%E3%83%AB" TargetMode="External"/><Relationship Id="rId207" Type="http://schemas.openxmlformats.org/officeDocument/2006/relationships/hyperlink" Target="https://wikiwiki.jp/megido72/%E3%82%A2%E3%82%AC%E3%83%AA%E3%82%A2%E3%83%AC%E3%83%97%E3%83%88" TargetMode="External"/><Relationship Id="rId228" Type="http://schemas.openxmlformats.org/officeDocument/2006/relationships/hyperlink" Target="https://wikiwiki.jp/megido72/%E3%82%A2%E3%83%90%E3%83%A9%E3%83%A0%EF%BC%88%E3%82%AB%E3%82%A6%E3%83%B3%E3%82%BF%E3%83%BC%EF%BC%89" TargetMode="External"/><Relationship Id="rId249" Type="http://schemas.openxmlformats.org/officeDocument/2006/relationships/hyperlink" Target="https://wikiwiki.jp/megido72/%E3%83%8D%E3%83%AB%E3%82%AC%E3%83%AB%EF%BC%88%E3%83%90%E3%83%BC%E3%82%B9%E3%83%88%EF%BC%89" TargetMode="External"/><Relationship Id="rId13" Type="http://schemas.openxmlformats.org/officeDocument/2006/relationships/hyperlink" Target="https://wikiwiki.jp/megido72/%E3%82%A2%E3%83%A2%E3%83%B3%EF%BC%88%E3%83%A9%E3%83%83%E3%82%B7%E3%83%A5%EF%BC%89" TargetMode="External"/><Relationship Id="rId109" Type="http://schemas.openxmlformats.org/officeDocument/2006/relationships/hyperlink" Target="https://wikiwiki.jp/megido72/%E3%82%AA%E3%83%AD%E3%83%90%E3%82%B9%EF%BC%88%E3%82%AB%E3%82%A6%E3%83%B3%E3%82%BF%E3%83%BC%EF%BC%89" TargetMode="External"/><Relationship Id="rId260" Type="http://schemas.openxmlformats.org/officeDocument/2006/relationships/hyperlink" Target="https://wikiwiki.jp/megido72/%E3%83%99%E3%83%AB%E3%82%BC%E3%83%96%E3%83%95" TargetMode="External"/><Relationship Id="rId34" Type="http://schemas.openxmlformats.org/officeDocument/2006/relationships/hyperlink" Target="https://wikiwiki.jp/megido72/%E3%83%9C%E3%83%86%E3%82%A3%E3%82%B9" TargetMode="External"/><Relationship Id="rId55" Type="http://schemas.openxmlformats.org/officeDocument/2006/relationships/hyperlink" Target="https://wikiwiki.jp/megido72/%E3%83%99%E3%83%AA%E3%83%88%EF%BC%88%E3%83%90%E3%83%BC%E3%82%B9%E3%83%88%EF%BC%89" TargetMode="External"/><Relationship Id="rId76" Type="http://schemas.openxmlformats.org/officeDocument/2006/relationships/hyperlink" Target="https://wikiwiki.jp/megido72/%E3%83%8F%E3%83%AB%E3%83%95%E3%82%A1%E3%82%B9" TargetMode="External"/><Relationship Id="rId97" Type="http://schemas.openxmlformats.org/officeDocument/2006/relationships/hyperlink" Target="https://wikiwiki.jp/megido72/%E3%82%AF%E3%83%AD%E3%82%B1%E3%83%AB%EF%BC%88%E3%83%A9%E3%83%83%E3%82%B7%E3%83%A5%EF%BC%89" TargetMode="External"/><Relationship Id="rId120" Type="http://schemas.openxmlformats.org/officeDocument/2006/relationships/hyperlink" Target="https://wikiwiki.jp/megido72/%E3%82%A6%E3%82%A1%E3%83%97%E3%83%A9" TargetMode="External"/><Relationship Id="rId141" Type="http://schemas.openxmlformats.org/officeDocument/2006/relationships/hyperlink" Target="https://wikiwiki.jp/megido72/%E3%83%80%E3%83%B3%E3%82%BF%E3%83%AA%E3%82%AA%E3%83%B3%EF%BC%88%E3%83%A9%E3%83%83%E3%82%B7%E3%83%A5%EF%BC%89" TargetMode="External"/><Relationship Id="rId7" Type="http://schemas.openxmlformats.org/officeDocument/2006/relationships/hyperlink" Target="https://wikiwiki.jp/megido72/%E3%82%AC%E3%83%9F%E3%82%B8%E3%83%B3%EF%BC%88%E3%83%90%E3%83%BC%E3%82%B9%E3%83%88%EF%BC%89" TargetMode="External"/><Relationship Id="rId162" Type="http://schemas.openxmlformats.org/officeDocument/2006/relationships/hyperlink" Target="https://wikiwiki.jp/megido72/%E3%82%A4%E3%83%B3%E3%82%AD%E3%83%A5%E3%83%90%E3%82%B9" TargetMode="External"/><Relationship Id="rId183" Type="http://schemas.openxmlformats.org/officeDocument/2006/relationships/hyperlink" Target="https://wikiwiki.jp/megido72/%E3%82%AB%E3%82%B9%E3%83%94%E3%82%A8%E3%83%AB%EF%BC%88%E3%82%AB%E3%82%A6%E3%83%B3%E3%82%BF%E3%83%BC%EF%BC%89" TargetMode="External"/><Relationship Id="rId218" Type="http://schemas.openxmlformats.org/officeDocument/2006/relationships/hyperlink" Target="https://wikiwiki.jp/megido72/%E3%82%A6%E3%83%88%E3%82%A5%E3%83%83%E3%82%AF" TargetMode="External"/><Relationship Id="rId239" Type="http://schemas.openxmlformats.org/officeDocument/2006/relationships/hyperlink" Target="https://wikiwiki.jp/megido72/%E3%83%95%E3%82%A3%E3%83%AD%E3%82%BF%E3%83%8C%E3%82%B9" TargetMode="External"/><Relationship Id="rId250" Type="http://schemas.openxmlformats.org/officeDocument/2006/relationships/hyperlink" Target="https://wikiwiki.jp/megido72/%E3%83%8D%E3%83%AB%E3%82%AC%E3%83%AB" TargetMode="External"/><Relationship Id="rId271" Type="http://schemas.openxmlformats.org/officeDocument/2006/relationships/hyperlink" Target="https://wikiwiki.jp/megido72/%E3%83%95%E3%83%BC%E3%83%AA%E3%83%BC%E3%83%81%E3%83%B3" TargetMode="External"/><Relationship Id="rId24" Type="http://schemas.openxmlformats.org/officeDocument/2006/relationships/hyperlink" Target="https://wikiwiki.jp/megido72/%E3%82%B7%E3%83%88%E3%83%AA%E3%83%BC" TargetMode="External"/><Relationship Id="rId45" Type="http://schemas.openxmlformats.org/officeDocument/2006/relationships/hyperlink" Target="https://wikiwiki.jp/megido72/%E3%82%A2%E3%82%A4%E3%83%A0%EF%BC%88%E3%83%A9%E3%83%83%E3%82%B7%E3%83%A5%EF%BC%89" TargetMode="External"/><Relationship Id="rId66" Type="http://schemas.openxmlformats.org/officeDocument/2006/relationships/hyperlink" Target="https://wikiwiki.jp/megido72/%E3%82%AC%E3%83%BC%E3%83%97" TargetMode="External"/><Relationship Id="rId87" Type="http://schemas.openxmlformats.org/officeDocument/2006/relationships/hyperlink" Target="https://wikiwiki.jp/megido72/%E3%82%B7%E3%83%A3%E3%83%83%E3%82%AF%E3%82%B9%EF%BC%88%E3%83%90%E3%83%BC%E3%82%B9%E3%83%88%EF%BC%89" TargetMode="External"/><Relationship Id="rId110" Type="http://schemas.openxmlformats.org/officeDocument/2006/relationships/hyperlink" Target="https://wikiwiki.jp/megido72/%E3%82%AA%E3%83%AD%E3%83%90%E3%82%B9" TargetMode="External"/><Relationship Id="rId131" Type="http://schemas.openxmlformats.org/officeDocument/2006/relationships/hyperlink" Target="https://wikiwiki.jp/megido72/%E3%82%AD%E3%83%9E%E3%83%AA%E3%82%B9%EF%BC%88%E3%82%AB%E3%82%A6%E3%83%B3%E3%82%BF%E3%83%BC%EF%BC%89" TargetMode="External"/><Relationship Id="rId152" Type="http://schemas.openxmlformats.org/officeDocument/2006/relationships/hyperlink" Target="https://wikiwiki.jp/megido72/%E3%83%A6%E3%83%95%E3%82%A3%E3%83%BC%E3%83%AB" TargetMode="External"/><Relationship Id="rId173" Type="http://schemas.openxmlformats.org/officeDocument/2006/relationships/hyperlink" Target="https://wikiwiki.jp/megido72/%E3%82%B5%E3%82%BF%E3%83%8A%E3%82%AD%E3%82%A2" TargetMode="External"/><Relationship Id="rId194" Type="http://schemas.openxmlformats.org/officeDocument/2006/relationships/hyperlink" Target="https://wikiwiki.jp/megido72/%E3%82%A2%E3%83%AB%E3%83%9E%E3%83%AD%E3%82%B9" TargetMode="External"/><Relationship Id="rId208" Type="http://schemas.openxmlformats.org/officeDocument/2006/relationships/hyperlink" Target="https://wikiwiki.jp/megido72/%E3%82%A6%E3%82%B3%E3%83%90%E3%82%AF" TargetMode="External"/><Relationship Id="rId229" Type="http://schemas.openxmlformats.org/officeDocument/2006/relationships/hyperlink" Target="https://wikiwiki.jp/megido72/%E3%82%A2%E3%83%90%E3%83%A9%E3%83%A0" TargetMode="External"/><Relationship Id="rId240" Type="http://schemas.openxmlformats.org/officeDocument/2006/relationships/hyperlink" Target="https://wikiwiki.jp/megido72/%E3%82%A4%E3%83%B3%E3%83%97%EF%BC%88%E3%83%A9%E3%83%83%E3%82%B7%E3%83%A5%EF%BC%89" TargetMode="External"/><Relationship Id="rId261" Type="http://schemas.openxmlformats.org/officeDocument/2006/relationships/hyperlink" Target="https://wikiwiki.jp/megido72/%E3%82%B5%E3%82%BF%E3%83%B3" TargetMode="External"/><Relationship Id="rId14" Type="http://schemas.openxmlformats.org/officeDocument/2006/relationships/hyperlink" Target="https://wikiwiki.jp/megido72/%E3%82%A2%E3%83%A2%E3%83%B3" TargetMode="External"/><Relationship Id="rId35" Type="http://schemas.openxmlformats.org/officeDocument/2006/relationships/hyperlink" Target="https://wikiwiki.jp/megido72/%E3%83%90%E3%83%86%E3%82%A3%E3%83%B3%EF%BC%88%E3%83%90%E3%83%BC%E3%82%B9%E3%83%88%EF%BC%89" TargetMode="External"/><Relationship Id="rId56" Type="http://schemas.openxmlformats.org/officeDocument/2006/relationships/hyperlink" Target="https://wikiwiki.jp/megido72/%E3%83%99%E3%83%AA%E3%83%88" TargetMode="External"/><Relationship Id="rId77" Type="http://schemas.openxmlformats.org/officeDocument/2006/relationships/hyperlink" Target="https://wikiwiki.jp/megido72/%E3%83%9E%E3%83%AB%E3%83%95%E3%82%A1%E3%82%B9%EF%BC%88%E3%83%90%E3%83%BC%E3%82%B9%E3%83%88%EF%BC%89" TargetMode="External"/><Relationship Id="rId100" Type="http://schemas.openxmlformats.org/officeDocument/2006/relationships/hyperlink" Target="https://wikiwiki.jp/megido72/%E3%83%95%E3%83%AB%E3%82%AB%E3%82%B9" TargetMode="External"/><Relationship Id="rId8" Type="http://schemas.openxmlformats.org/officeDocument/2006/relationships/hyperlink" Target="https://wikiwiki.jp/megido72/%E3%82%AC%E3%83%9F%E3%82%B8%E3%83%B3" TargetMode="External"/><Relationship Id="rId98" Type="http://schemas.openxmlformats.org/officeDocument/2006/relationships/hyperlink" Target="https://wikiwiki.jp/megido72/%E3%82%AF%E3%83%AD%E3%82%B1%E3%83%AB" TargetMode="External"/><Relationship Id="rId121" Type="http://schemas.openxmlformats.org/officeDocument/2006/relationships/hyperlink" Target="https://wikiwiki.jp/megido72/%E3%82%B6%E3%82%AC%E3%83%B3%EF%BC%88%E3%83%A9%E3%83%83%E3%82%B7%E3%83%A5%EF%BC%89" TargetMode="External"/><Relationship Id="rId142" Type="http://schemas.openxmlformats.org/officeDocument/2006/relationships/hyperlink" Target="https://wikiwiki.jp/megido72/%E3%83%80%E3%83%B3%E3%82%BF%E3%83%AA%E3%82%AA%E3%83%B3" TargetMode="External"/><Relationship Id="rId163" Type="http://schemas.openxmlformats.org/officeDocument/2006/relationships/hyperlink" Target="https://wikiwiki.jp/megido72/%E3%82%B0%E3%83%AA%E3%83%9E%E3%83%AB%E3%82%AD%E3%83%B3%EF%BC%88%E3%83%A9%E3%83%83%E3%82%B7%E3%83%A5%EF%BC%89" TargetMode="External"/><Relationship Id="rId184" Type="http://schemas.openxmlformats.org/officeDocument/2006/relationships/hyperlink" Target="https://wikiwiki.jp/megido72/%E3%82%AB%E3%82%B9%E3%83%94%E3%82%A8%E3%83%AB" TargetMode="External"/><Relationship Id="rId219" Type="http://schemas.openxmlformats.org/officeDocument/2006/relationships/hyperlink" Target="https://wikiwiki.jp/megido72/%E3%82%B5%E3%82%BF%E3%83%8A%E3%82%A4%E3%83%AB" TargetMode="External"/><Relationship Id="rId230" Type="http://schemas.openxmlformats.org/officeDocument/2006/relationships/hyperlink" Target="https://wikiwiki.jp/megido72/%E3%82%A2%E3%83%AA%E3%83%88%E3%83%B3" TargetMode="External"/><Relationship Id="rId251" Type="http://schemas.openxmlformats.org/officeDocument/2006/relationships/hyperlink" Target="https://wikiwiki.jp/megido72/%E3%83%90%E3%83%BC%E3%83%AB%E3%82%BC%E3%83%95%E3%82%A9%E3%83%B3%EF%BC%88%E3%82%AB%E3%82%A6%E3%83%B3%E3%82%BF%E3%83%BC%EF%BC%89" TargetMode="External"/><Relationship Id="rId25" Type="http://schemas.openxmlformats.org/officeDocument/2006/relationships/hyperlink" Target="https://wikiwiki.jp/megido72/%E3%83%99%E3%83%AC%E3%83%88%EF%BC%88%E3%83%90%E3%83%BC%E3%82%B9%E3%83%88%EF%BC%89" TargetMode="External"/><Relationship Id="rId46" Type="http://schemas.openxmlformats.org/officeDocument/2006/relationships/hyperlink" Target="https://wikiwiki.jp/megido72/%E3%82%A2%E3%82%A4%E3%83%A0" TargetMode="External"/><Relationship Id="rId67" Type="http://schemas.openxmlformats.org/officeDocument/2006/relationships/hyperlink" Target="https://wikiwiki.jp/megido72/%E3%83%95%E3%83%AB%E3%83%95%E3%83%AB%EF%BC%88%E3%82%AB%E3%82%A6%E3%83%B3%E3%82%BF%E3%83%BC%EF%BC%89" TargetMode="External"/><Relationship Id="rId272" Type="http://schemas.openxmlformats.org/officeDocument/2006/relationships/hyperlink" Target="https://wikiwiki.jp/megido72/%E3%82%A2%E3%83%B3%E3%83%80%E3%82%AB" TargetMode="External"/><Relationship Id="rId88" Type="http://schemas.openxmlformats.org/officeDocument/2006/relationships/hyperlink" Target="https://wikiwiki.jp/megido72/%E3%82%B7%E3%83%A3%E3%83%83%E3%82%AF%E3%82%B9" TargetMode="External"/><Relationship Id="rId111" Type="http://schemas.openxmlformats.org/officeDocument/2006/relationships/hyperlink" Target="https://wikiwiki.jp/megido72/%E3%82%B0%E3%83%AC%E3%83%A2%E3%83%AA%E3%83%BC%EF%BC%88%E3%83%A9%E3%83%83%E3%82%B7%E3%83%A5%EF%BC%89" TargetMode="External"/><Relationship Id="rId132" Type="http://schemas.openxmlformats.org/officeDocument/2006/relationships/hyperlink" Target="https://wikiwiki.jp/megido72/%E3%82%AD%E3%83%9E%E3%83%AA%E3%82%B9" TargetMode="External"/><Relationship Id="rId153" Type="http://schemas.openxmlformats.org/officeDocument/2006/relationships/hyperlink" Target="https://wikiwiki.jp/megido72/%E3%83%95%E3%83%AA%E3%82%A2%E3%82%A8%EF%BC%88%E3%83%A9%E3%83%83%E3%82%B7%E3%83%A5%EF%BC%89" TargetMode="External"/><Relationship Id="rId174" Type="http://schemas.openxmlformats.org/officeDocument/2006/relationships/hyperlink" Target="https://wikiwiki.jp/megido72/%E3%82%BF%E3%83%8A%E3%83%88%E3%82%B9" TargetMode="External"/><Relationship Id="rId195" Type="http://schemas.openxmlformats.org/officeDocument/2006/relationships/hyperlink" Target="https://wikiwiki.jp/megido72/%E3%83%90%E3%83%A9%E3%82%AD%E3%82%A8%E3%83%AB" TargetMode="External"/><Relationship Id="rId209" Type="http://schemas.openxmlformats.org/officeDocument/2006/relationships/hyperlink" Target="https://wikiwiki.jp/megido72/%E3%82%B0%E3%82%B6%E3%83%95%E3%82%A1%E3%83%B3" TargetMode="External"/><Relationship Id="rId220" Type="http://schemas.openxmlformats.org/officeDocument/2006/relationships/hyperlink" Target="https://wikiwiki.jp/megido72/%E3%82%B7%E3%83%A3%E3%83%9F%E3%83%8F%E3%82%B6%EF%BC%88%E3%83%A9%E3%83%83%E3%82%B7%E3%83%A5%EF%BC%89" TargetMode="External"/><Relationship Id="rId241" Type="http://schemas.openxmlformats.org/officeDocument/2006/relationships/hyperlink" Target="https://wikiwiki.jp/megido72/%E3%82%A4%E3%83%B3%E3%83%97" TargetMode="External"/><Relationship Id="rId15" Type="http://schemas.openxmlformats.org/officeDocument/2006/relationships/hyperlink" Target="https://wikiwiki.jp/megido72/%E3%83%90%E3%83%AB%E3%83%90%E3%83%88%E3%82%B9%EF%BC%88%E3%83%A9%E3%83%83%E3%82%B7%E3%83%A5%EF%BC%89" TargetMode="External"/><Relationship Id="rId36" Type="http://schemas.openxmlformats.org/officeDocument/2006/relationships/hyperlink" Target="https://wikiwiki.jp/megido72/%E3%83%90%E3%83%86%E3%82%A3%E3%83%B3" TargetMode="External"/><Relationship Id="rId57" Type="http://schemas.openxmlformats.org/officeDocument/2006/relationships/hyperlink" Target="https://wikiwiki.jp/megido72/%E3%82%A2%E3%82%B9%E3%82%BF%E3%83%AD%E3%83%88%EF%BC%88%E3%83%90%E3%83%BC%E3%82%B9%E3%83%88%EF%BC%89" TargetMode="External"/><Relationship Id="rId262" Type="http://schemas.openxmlformats.org/officeDocument/2006/relationships/hyperlink" Target="https://wikiwiki.jp/megido72/%E3%83%A2%E3%83%AC%E3%82%AF" TargetMode="External"/><Relationship Id="rId78" Type="http://schemas.openxmlformats.org/officeDocument/2006/relationships/hyperlink" Target="https://wikiwiki.jp/megido72/%E3%83%9E%E3%83%AB%E3%83%95%E3%82%A1%E3%82%B9" TargetMode="External"/><Relationship Id="rId99" Type="http://schemas.openxmlformats.org/officeDocument/2006/relationships/hyperlink" Target="https://wikiwiki.jp/megido72/%E3%83%95%E3%83%AB%E3%82%AB%E3%82%B9%EF%BC%88%E3%82%AB%E3%82%A6%E3%83%B3%E3%82%BF%E3%83%BC%EF%BC%89" TargetMode="External"/><Relationship Id="rId101" Type="http://schemas.openxmlformats.org/officeDocument/2006/relationships/hyperlink" Target="https://wikiwiki.jp/megido72/%E3%83%90%E3%83%A9%E3%83%A0%EF%BC%88%E3%83%A9%E3%83%83%E3%82%B7%E3%83%A5%EF%BC%89" TargetMode="External"/><Relationship Id="rId122" Type="http://schemas.openxmlformats.org/officeDocument/2006/relationships/hyperlink" Target="https://wikiwiki.jp/megido72/%E3%82%B6%E3%82%AC%E3%83%B3" TargetMode="External"/><Relationship Id="rId143" Type="http://schemas.openxmlformats.org/officeDocument/2006/relationships/hyperlink" Target="https://wikiwiki.jp/megido72/%E3%82%A2%E3%83%B3%E3%83%89%E3%83%AD%E3%83%9E%E3%83%AA%E3%82%A6%E3%82%B9%EF%BC%88%E3%82%AB%E3%82%A6%E3%83%B3%E3%82%BF%E3%83%BC%EF%BC%89" TargetMode="External"/><Relationship Id="rId164" Type="http://schemas.openxmlformats.org/officeDocument/2006/relationships/hyperlink" Target="https://wikiwiki.jp/megido72/%E3%82%B0%E3%83%AA%E3%83%9E%E3%83%AB%E3%82%AD%E3%83%B3" TargetMode="External"/><Relationship Id="rId185" Type="http://schemas.openxmlformats.org/officeDocument/2006/relationships/hyperlink" Target="https://wikiwiki.jp/megido72/%E3%83%8D%E3%83%95%E3%82%A3%E3%83%AA%E3%83%A0%EF%BC%88%E3%83%90%E3%83%BC%E3%82%B9%E3%83%88%EF%BC%89" TargetMode="External"/><Relationship Id="rId9" Type="http://schemas.openxmlformats.org/officeDocument/2006/relationships/hyperlink" Target="https://wikiwiki.jp/megido72/%E3%83%9E%E3%83%AB%E3%83%90%E3%82%B9%EF%BC%88%E3%83%A9%E3%83%83%E3%82%B7%E3%83%A5%EF%BC%89" TargetMode="External"/><Relationship Id="rId210" Type="http://schemas.openxmlformats.org/officeDocument/2006/relationships/hyperlink" Target="https://wikiwiki.jp/megido72/%E3%82%A2%E3%83%9E%E3%82%A4%E3%83%A2%E3%83%B3%EF%BC%88%E3%83%A9%E3%83%83%E3%82%B7%E3%83%A5%EF%BC%89" TargetMode="External"/><Relationship Id="rId26" Type="http://schemas.openxmlformats.org/officeDocument/2006/relationships/hyperlink" Target="https://wikiwiki.jp/megido72/%E3%83%99%E3%83%AC%E3%83%88" TargetMode="External"/><Relationship Id="rId231" Type="http://schemas.openxmlformats.org/officeDocument/2006/relationships/hyperlink" Target="https://wikiwiki.jp/megido72/%E3%83%90%E3%83%AD%E3%83%BC%E3%83%AB" TargetMode="External"/><Relationship Id="rId252" Type="http://schemas.openxmlformats.org/officeDocument/2006/relationships/hyperlink" Target="https://wikiwiki.jp/megido72/%E3%83%90%E3%83%BC%E3%83%AB%E3%82%BC%E3%83%95%E3%82%A9%E3%83%B3" TargetMode="External"/><Relationship Id="rId47" Type="http://schemas.openxmlformats.org/officeDocument/2006/relationships/hyperlink" Target="https://wikiwiki.jp/megido72/%E3%83%8A%E3%83%99%E3%83%AA%E3%82%A6%E3%82%B9%EF%BC%88%E3%83%90%E3%83%BC%E3%82%B9%E3%83%88%EF%BC%89" TargetMode="External"/><Relationship Id="rId68" Type="http://schemas.openxmlformats.org/officeDocument/2006/relationships/hyperlink" Target="https://wikiwiki.jp/megido72/%E3%83%95%E3%83%AB%E3%83%95%E3%83%AB" TargetMode="External"/><Relationship Id="rId89" Type="http://schemas.openxmlformats.org/officeDocument/2006/relationships/hyperlink" Target="https://wikiwiki.jp/megido72/%E3%83%B4%E3%82%A3%E3%83%8D%EF%BC%88%E3%83%A9%E3%83%83%E3%82%B7%E3%83%A5%EF%BC%89" TargetMode="External"/><Relationship Id="rId112" Type="http://schemas.openxmlformats.org/officeDocument/2006/relationships/hyperlink" Target="https://wikiwiki.jp/megido72/%E3%82%B0%E3%83%AC%E3%83%A2%E3%83%AA%E3%83%BC" TargetMode="External"/><Relationship Id="rId133" Type="http://schemas.openxmlformats.org/officeDocument/2006/relationships/hyperlink" Target="https://wikiwiki.jp/megido72/%E3%82%A2%E3%83%A0%E3%83%89%E3%82%A5%E3%82%B9%E3%82%AD%E3%82%A2%E3%82%B9%EF%BC%88%E3%83%90%E3%83%BC%E3%82%B9%E3%83%88%EF%BC%89" TargetMode="External"/><Relationship Id="rId154" Type="http://schemas.openxmlformats.org/officeDocument/2006/relationships/hyperlink" Target="https://wikiwiki.jp/megido72/%E3%83%95%E3%83%AA%E3%82%A2%E3%82%A8" TargetMode="External"/><Relationship Id="rId175" Type="http://schemas.openxmlformats.org/officeDocument/2006/relationships/hyperlink" Target="https://wikiwiki.jp/megido72/%E3%83%86%E3%82%A3%E3%82%A2%E3%83%9E%E3%83%88%EF%BC%88%E3%83%A9%E3%83%83%E3%82%B7%E3%83%A5%EF%BC%89" TargetMode="External"/><Relationship Id="rId196" Type="http://schemas.openxmlformats.org/officeDocument/2006/relationships/hyperlink" Target="https://wikiwiki.jp/megido72/%E3%83%95%E3%83%AB%E3%83%BC%E3%83%AC%E3%83%86%E3%82%A3%EF%BC%88%E3%83%90%E3%83%BC%E3%82%B9%E3%83%88%EF%BC%89" TargetMode="External"/><Relationship Id="rId200" Type="http://schemas.openxmlformats.org/officeDocument/2006/relationships/hyperlink" Target="https://wikiwiki.jp/megido72/%E3%83%8F%E3%83%83%E3%82%AF" TargetMode="External"/><Relationship Id="rId16" Type="http://schemas.openxmlformats.org/officeDocument/2006/relationships/hyperlink" Target="https://wikiwiki.jp/megido72/%E3%83%90%E3%83%AB%E3%83%90%E3%83%88%E3%82%B9" TargetMode="External"/><Relationship Id="rId221" Type="http://schemas.openxmlformats.org/officeDocument/2006/relationships/hyperlink" Target="https://wikiwiki.jp/megido72/%E3%82%B7%E3%83%A3%E3%83%9F%E3%83%8F%E3%82%B6" TargetMode="External"/><Relationship Id="rId242" Type="http://schemas.openxmlformats.org/officeDocument/2006/relationships/hyperlink" Target="https://wikiwiki.jp/megido72/%E3%82%A2%E3%83%9E%E3%82%BC%E3%83%AD%E3%83%88%EF%BC%88%E3%83%90%E3%83%BC%E3%82%B9%E3%83%88%EF%BC%89" TargetMode="External"/><Relationship Id="rId263" Type="http://schemas.openxmlformats.org/officeDocument/2006/relationships/hyperlink" Target="https://wikiwiki.jp/megido72/%E3%82%AB%E3%82%AC%E3%82%BB%E3%82%AA" TargetMode="External"/><Relationship Id="rId37" Type="http://schemas.openxmlformats.org/officeDocument/2006/relationships/hyperlink" Target="https://wikiwiki.jp/megido72/%E3%82%B5%E3%83%AC%E3%82%AA%E3%82%B9%EF%BC%88%E3%82%AB%E3%82%A6%E3%83%B3%E3%82%BF%E3%83%BC%EF%BC%89" TargetMode="External"/><Relationship Id="rId58" Type="http://schemas.openxmlformats.org/officeDocument/2006/relationships/hyperlink" Target="https://wikiwiki.jp/megido72/%E3%82%A2%E3%82%B9%E3%82%BF%E3%83%AD%E3%83%88" TargetMode="External"/><Relationship Id="rId79" Type="http://schemas.openxmlformats.org/officeDocument/2006/relationships/hyperlink" Target="https://wikiwiki.jp/megido72/%E3%83%A9%E3%82%A6%E3%83%A0%EF%BC%88%E3%82%AB%E3%82%A6%E3%83%B3%E3%82%BF%E3%83%BC%EF%BC%89" TargetMode="External"/><Relationship Id="rId102" Type="http://schemas.openxmlformats.org/officeDocument/2006/relationships/hyperlink" Target="https://wikiwiki.jp/megido72/%E3%83%90%E3%83%A9%E3%83%A0" TargetMode="External"/><Relationship Id="rId123" Type="http://schemas.openxmlformats.org/officeDocument/2006/relationships/hyperlink" Target="https://wikiwiki.jp/megido72/%E3%82%A6%E3%82%A1%E3%83%A9%E3%82%AF%EF%BC%88%E3%82%AB%E3%82%A6%E3%83%B3%E3%82%BF%E3%83%BC%EF%BC%89" TargetMode="External"/><Relationship Id="rId144" Type="http://schemas.openxmlformats.org/officeDocument/2006/relationships/hyperlink" Target="https://wikiwiki.jp/megido72/%E3%82%A2%E3%83%B3%E3%83%89%E3%83%AD%E3%83%9E%E3%83%AA%E3%82%A6%E3%82%B9" TargetMode="External"/><Relationship Id="rId90" Type="http://schemas.openxmlformats.org/officeDocument/2006/relationships/hyperlink" Target="https://wikiwiki.jp/megido72/%E3%83%B4%E3%82%A3%E3%83%8D" TargetMode="External"/><Relationship Id="rId165" Type="http://schemas.openxmlformats.org/officeDocument/2006/relationships/hyperlink" Target="https://wikiwiki.jp/megido72/%E3%82%B3%E3%83%AB%E3%82%BD%E3%83%B3%EF%BC%88%E3%83%A9%E3%83%83%E3%82%B7%E3%83%A5%EF%BC%89" TargetMode="External"/><Relationship Id="rId186" Type="http://schemas.openxmlformats.org/officeDocument/2006/relationships/hyperlink" Target="https://wikiwiki.jp/megido72/%E3%83%8D%E3%83%95%E3%82%A3%E3%83%AA%E3%83%A0" TargetMode="External"/><Relationship Id="rId211" Type="http://schemas.openxmlformats.org/officeDocument/2006/relationships/hyperlink" Target="https://wikiwiki.jp/megido72/%E3%82%A2%E3%83%9E%E3%82%A4%E3%83%A2%E3%83%B3" TargetMode="External"/><Relationship Id="rId232" Type="http://schemas.openxmlformats.org/officeDocument/2006/relationships/hyperlink" Target="https://wikiwiki.jp/megido72/%E3%83%99%E3%83%92%E3%83%A2%E3%82%B9%EF%BC%88%E3%83%90%E3%83%BC%E3%82%B9%E3%83%88%EF%BC%89" TargetMode="External"/><Relationship Id="rId253" Type="http://schemas.openxmlformats.org/officeDocument/2006/relationships/hyperlink" Target="https://wikiwiki.jp/megido72/%E3%82%A2%E3%82%B9%E3%83%A9%E3%83%95%E3%82%A3%E3%83%AB" TargetMode="External"/><Relationship Id="rId27" Type="http://schemas.openxmlformats.org/officeDocument/2006/relationships/hyperlink" Target="https://wikiwiki.jp/megido72/%E3%83%AC%E3%83%A9%E3%82%B8%E3%82%A7%EF%BC%88%E3%83%A9%E3%83%83%E3%82%B7%E3%83%A5%EF%BC%89" TargetMode="External"/><Relationship Id="rId48" Type="http://schemas.openxmlformats.org/officeDocument/2006/relationships/hyperlink" Target="https://wikiwiki.jp/megido72/%E3%83%8A%E3%83%99%E3%83%AA%E3%82%A6%E3%82%B9" TargetMode="External"/><Relationship Id="rId69" Type="http://schemas.openxmlformats.org/officeDocument/2006/relationships/hyperlink" Target="https://wikiwiki.jp/megido72/%E3%83%9E%E3%83%AB%E3%82%B3%E3%82%B7%E3%82%A2%E3%82%B9%EF%BC%88%E3%83%90%E3%83%BC%E3%82%B9%E3%83%88%EF%BC%89" TargetMode="External"/><Relationship Id="rId113" Type="http://schemas.openxmlformats.org/officeDocument/2006/relationships/hyperlink" Target="https://wikiwiki.jp/megido72/%E3%82%AA%E3%82%BB%EF%BC%88%E3%82%AB%E3%82%A6%E3%83%B3%E3%82%BF%E3%83%BC%EF%BC%89" TargetMode="External"/><Relationship Id="rId134" Type="http://schemas.openxmlformats.org/officeDocument/2006/relationships/hyperlink" Target="https://wikiwiki.jp/megido72/%E3%82%A2%E3%83%A0%E3%83%89%E3%82%A5%E3%82%B9%E3%82%AD%E3%82%A2%E3%82%B9" TargetMode="External"/><Relationship Id="rId80" Type="http://schemas.openxmlformats.org/officeDocument/2006/relationships/hyperlink" Target="https://wikiwiki.jp/megido72/%E3%83%A9%E3%82%A6%E3%83%A0" TargetMode="External"/><Relationship Id="rId155" Type="http://schemas.openxmlformats.org/officeDocument/2006/relationships/hyperlink" Target="https://wikiwiki.jp/megido72/%E3%82%A2%E3%83%A9%E3%82%B9%E3%83%88%E3%83%BC%E3%83%AB%EF%BC%88%E3%83%90%E3%83%BC%E3%82%B9%E3%83%88%EF%BC%89" TargetMode="External"/><Relationship Id="rId176" Type="http://schemas.openxmlformats.org/officeDocument/2006/relationships/hyperlink" Target="https://wikiwiki.jp/megido72/%E3%83%86%E3%82%A3%E3%82%A2%E3%83%9E%E3%83%88" TargetMode="External"/><Relationship Id="rId197" Type="http://schemas.openxmlformats.org/officeDocument/2006/relationships/hyperlink" Target="https://wikiwiki.jp/megido72/%E3%83%95%E3%83%AB%E3%83%BC%E3%83%AC%E3%83%86%E3%82%A3" TargetMode="External"/><Relationship Id="rId201" Type="http://schemas.openxmlformats.org/officeDocument/2006/relationships/hyperlink" Target="https://wikiwiki.jp/megido72/%E3%83%9E%E3%82%B9%E3%83%86%E3%82%A3%E3%83%9E" TargetMode="External"/><Relationship Id="rId222" Type="http://schemas.openxmlformats.org/officeDocument/2006/relationships/hyperlink" Target="https://wikiwiki.jp/megido72/%E3%83%97%E3%83%AB%E3%83%95%E3%83%A9%E3%82%B9%EF%BC%88%E3%83%90%E3%83%BC%E3%82%B9%E3%83%88%EF%BC%89" TargetMode="External"/><Relationship Id="rId243" Type="http://schemas.openxmlformats.org/officeDocument/2006/relationships/hyperlink" Target="https://wikiwiki.jp/megido72/%E3%82%A2%E3%83%9E%E3%82%BC%E3%83%AD%E3%83%88" TargetMode="External"/><Relationship Id="rId264" Type="http://schemas.openxmlformats.org/officeDocument/2006/relationships/hyperlink" Target="https://wikiwiki.jp/megido72/%E3%83%9E%E3%83%8A%E3%83%8A%E3%83%B3%E3%82%AC%E3%83%AB" TargetMode="External"/><Relationship Id="rId17" Type="http://schemas.openxmlformats.org/officeDocument/2006/relationships/hyperlink" Target="https://wikiwiki.jp/megido72/%E3%83%91%E3%82%A4%E3%83%A2%E3%83%B3%EF%BC%88%E3%83%90%E3%83%BC%E3%82%B9%E3%83%88%EF%BC%89" TargetMode="External"/><Relationship Id="rId38" Type="http://schemas.openxmlformats.org/officeDocument/2006/relationships/hyperlink" Target="https://wikiwiki.jp/megido72/%E3%82%B5%E3%83%AC%E3%82%AA%E3%82%B9" TargetMode="External"/><Relationship Id="rId59" Type="http://schemas.openxmlformats.org/officeDocument/2006/relationships/hyperlink" Target="https://wikiwiki.jp/megido72/%E3%83%95%E3%82%A9%E3%83%AB%E3%83%8D%E3%82%A6%E3%82%B9%EF%BC%88%E3%83%90%E3%83%BC%E3%82%B9%E3%83%88%EF%BC%89" TargetMode="External"/><Relationship Id="rId103" Type="http://schemas.openxmlformats.org/officeDocument/2006/relationships/hyperlink" Target="https://wikiwiki.jp/megido72/%E3%82%A2%E3%83%AD%E3%82%B1%E3%83%AB%EF%BC%88%E3%83%A9%E3%83%83%E3%82%B7%E3%83%A5%EF%BC%89" TargetMode="External"/><Relationship Id="rId124" Type="http://schemas.openxmlformats.org/officeDocument/2006/relationships/hyperlink" Target="https://wikiwiki.jp/megido72/%E3%82%A6%E3%82%A1%E3%83%A9%E3%82%AF" TargetMode="External"/><Relationship Id="rId70" Type="http://schemas.openxmlformats.org/officeDocument/2006/relationships/hyperlink" Target="https://wikiwiki.jp/megido72/%E3%83%9E%E3%83%AB%E3%82%B3%E3%82%B7%E3%82%A2%E3%82%B9" TargetMode="External"/><Relationship Id="rId91" Type="http://schemas.openxmlformats.org/officeDocument/2006/relationships/hyperlink" Target="https://wikiwiki.jp/megido72/%E3%83%93%E3%83%95%E3%83%AD%E3%83%B3%E3%82%B9%EF%BC%88%E3%82%AB%E3%82%A6%E3%83%B3%E3%82%BF%E3%83%BC%EF%BC%89" TargetMode="External"/><Relationship Id="rId145" Type="http://schemas.openxmlformats.org/officeDocument/2006/relationships/hyperlink" Target="https://wikiwiki.jp/megido72/%E3%83%AA%E3%83%AA%E3%83%A0%EF%BC%88%E3%83%A9%E3%83%83%E3%82%B7%E3%83%A5%EF%BC%89" TargetMode="External"/><Relationship Id="rId166" Type="http://schemas.openxmlformats.org/officeDocument/2006/relationships/hyperlink" Target="https://wikiwiki.jp/megido72/%E3%82%B3%E3%83%AB%E3%82%BD%E3%83%B3" TargetMode="External"/><Relationship Id="rId187" Type="http://schemas.openxmlformats.org/officeDocument/2006/relationships/hyperlink" Target="https://wikiwiki.jp/megido72/%E3%83%9F%E3%83%8E%E3%82%BD%E3%83%B3" TargetMode="External"/><Relationship Id="rId1" Type="http://schemas.openxmlformats.org/officeDocument/2006/relationships/hyperlink" Target="https://wikiwiki.jp/megido72/%E3%83%90%E3%82%A8%E3%83%AB" TargetMode="External"/><Relationship Id="rId212" Type="http://schemas.openxmlformats.org/officeDocument/2006/relationships/hyperlink" Target="https://wikiwiki.jp/megido72/%E3%83%AB%E3%82%AD%E3%83%95%E3%82%B2%E3%82%B9" TargetMode="External"/><Relationship Id="rId233" Type="http://schemas.openxmlformats.org/officeDocument/2006/relationships/hyperlink" Target="https://wikiwiki.jp/megido72/%E3%83%99%E3%83%92%E3%83%A2%E3%82%B9" TargetMode="External"/><Relationship Id="rId254" Type="http://schemas.openxmlformats.org/officeDocument/2006/relationships/hyperlink" Target="https://wikiwiki.jp/megido72/%E3%82%A2%E3%82%AF%E3%82%A3%E3%82%A8%E3%83%AB%EF%BC%88%E3%83%90%E3%83%BC%E3%82%B9%E3%83%88%EF%BC%89" TargetMode="External"/><Relationship Id="rId28" Type="http://schemas.openxmlformats.org/officeDocument/2006/relationships/hyperlink" Target="https://wikiwiki.jp/megido72/%E3%83%AC%E3%83%A9%E3%82%B8%E3%82%A7" TargetMode="External"/><Relationship Id="rId49" Type="http://schemas.openxmlformats.org/officeDocument/2006/relationships/hyperlink" Target="https://wikiwiki.jp/megido72/%E3%82%B0%E3%83%A9%E3%82%B7%E3%83%A3%E3%83%A9%E3%83%9C%E3%83%A9%E3%82%B9%EF%BC%88%E3%82%AB%E3%82%A6%E3%83%B3%E3%82%BF%E3%83%BC%EF%BC%89" TargetMode="External"/><Relationship Id="rId114" Type="http://schemas.openxmlformats.org/officeDocument/2006/relationships/hyperlink" Target="https://wikiwiki.jp/megido72/%E3%82%AA%E3%82%BB" TargetMode="External"/><Relationship Id="rId60" Type="http://schemas.openxmlformats.org/officeDocument/2006/relationships/hyperlink" Target="https://wikiwiki.jp/megido72/%E3%83%95%E3%82%A9%E3%83%AB%E3%83%8D%E3%82%A6%E3%82%B9" TargetMode="External"/><Relationship Id="rId81" Type="http://schemas.openxmlformats.org/officeDocument/2006/relationships/hyperlink" Target="https://wikiwiki.jp/megido72/%E3%83%95%E3%82%A9%E3%82%AB%E3%83%AD%E3%83%AB%EF%BC%88%E3%83%A9%E3%83%83%E3%82%B7%E3%83%A5%EF%BC%89" TargetMode="External"/><Relationship Id="rId135" Type="http://schemas.openxmlformats.org/officeDocument/2006/relationships/hyperlink" Target="https://wikiwiki.jp/megido72/%E3%83%99%E3%83%AA%E3%82%A2%E3%83%AB%EF%BC%88%E3%83%90%E3%83%BC%E3%82%B9%E3%83%88%EF%BC%89" TargetMode="External"/><Relationship Id="rId156" Type="http://schemas.openxmlformats.org/officeDocument/2006/relationships/hyperlink" Target="https://wikiwiki.jp/megido72/%E3%82%A2%E3%83%A9%E3%82%B9%E3%83%88%E3%83%BC%E3%83%AB" TargetMode="External"/><Relationship Id="rId177" Type="http://schemas.openxmlformats.org/officeDocument/2006/relationships/hyperlink" Target="https://wikiwiki.jp/megido72/%E3%83%96%E3%83%8B%EF%BC%88%E3%83%90%E3%83%BC%E3%82%B9%E3%83%88%EF%BC%89" TargetMode="External"/><Relationship Id="rId198" Type="http://schemas.openxmlformats.org/officeDocument/2006/relationships/hyperlink" Target="https://wikiwiki.jp/megido72/%E3%82%AC%E3%82%AE%E3%82%BE%E3%83%B3" TargetMode="External"/><Relationship Id="rId202" Type="http://schemas.openxmlformats.org/officeDocument/2006/relationships/hyperlink" Target="https://wikiwiki.jp/megido72/%E3%83%96%E3%83%AA%E3%83%95%E3%82%A9%E3%83%BC" TargetMode="External"/><Relationship Id="rId223" Type="http://schemas.openxmlformats.org/officeDocument/2006/relationships/hyperlink" Target="https://wikiwiki.jp/megido72/%E3%83%97%E3%83%AB%E3%83%95%E3%83%A9%E3%82%B9" TargetMode="External"/><Relationship Id="rId244" Type="http://schemas.openxmlformats.org/officeDocument/2006/relationships/hyperlink" Target="https://wikiwiki.jp/megido72/%E3%83%97%E3%83%AD%E3%83%A1%E3%83%86%E3%82%A6%E3%82%B9%EF%BC%88%E3%82%AB%E3%82%A6%E3%83%B3%E3%82%BF%E3%83%BC%EF%BC%89" TargetMode="External"/><Relationship Id="rId18" Type="http://schemas.openxmlformats.org/officeDocument/2006/relationships/hyperlink" Target="https://wikiwiki.jp/megido72/%E3%83%91%E3%82%A4%E3%83%A2%E3%83%B3" TargetMode="External"/><Relationship Id="rId39" Type="http://schemas.openxmlformats.org/officeDocument/2006/relationships/hyperlink" Target="https://wikiwiki.jp/megido72/%E3%83%97%E3%83%AB%E3%82%BD%E3%83%B3%EF%BC%88%E3%83%90%E3%83%BC%E3%82%B9%E3%83%88%EF%BC%89" TargetMode="External"/><Relationship Id="rId265" Type="http://schemas.openxmlformats.org/officeDocument/2006/relationships/hyperlink" Target="https://wikiwiki.jp/megido72/%E3%82%B7%E3%82%A7%E3%83%B3%E3%82%A6%E3%83%BC" TargetMode="External"/><Relationship Id="rId50" Type="http://schemas.openxmlformats.org/officeDocument/2006/relationships/hyperlink" Target="https://wikiwiki.jp/megido72/%E3%82%B0%E3%83%A9%E3%82%B7%E3%83%A3%E3%83%A9%E3%83%9C%E3%83%A9%E3%82%B9" TargetMode="External"/><Relationship Id="rId104" Type="http://schemas.openxmlformats.org/officeDocument/2006/relationships/hyperlink" Target="https://wikiwiki.jp/megido72/%E3%82%A2%E3%83%AD%E3%82%B1%E3%83%AB" TargetMode="External"/><Relationship Id="rId125" Type="http://schemas.openxmlformats.org/officeDocument/2006/relationships/hyperlink" Target="https://wikiwiki.jp/megido72/%E3%82%A2%E3%83%B3%E3%83%89%E3%83%A9%E3%82%B9%EF%BC%88%E3%82%AB%E3%82%A6%E3%83%B3%E3%82%BF%E3%83%BC%EF%BC%89" TargetMode="External"/><Relationship Id="rId146" Type="http://schemas.openxmlformats.org/officeDocument/2006/relationships/hyperlink" Target="https://wikiwiki.jp/megido72/%E3%83%AA%E3%83%AA%E3%83%A0" TargetMode="External"/><Relationship Id="rId167" Type="http://schemas.openxmlformats.org/officeDocument/2006/relationships/hyperlink" Target="https://wikiwiki.jp/megido72/%E3%82%B8%E3%83%8B%E3%83%9E%E3%83%AB%EF%BC%88%E3%83%A9%E3%83%83%E3%82%B7%E3%83%A5%EF%BC%89" TargetMode="External"/><Relationship Id="rId188" Type="http://schemas.openxmlformats.org/officeDocument/2006/relationships/hyperlink" Target="https://wikiwiki.jp/megido72/%E3%83%8B%E3%82%B9%E3%83%AD%E3%82%AF%EF%BC%88%E3%83%90%E3%83%BC%E3%82%B9%E3%83%88%EF%BC%89" TargetMode="External"/><Relationship Id="rId71" Type="http://schemas.openxmlformats.org/officeDocument/2006/relationships/hyperlink" Target="https://wikiwiki.jp/megido72/%E3%82%B9%E3%83%88%E3%83%A9%E3%82%B9%EF%BC%88%E3%83%A9%E3%83%83%E3%82%B7%E3%83%A5%EF%BC%89" TargetMode="External"/><Relationship Id="rId92" Type="http://schemas.openxmlformats.org/officeDocument/2006/relationships/hyperlink" Target="https://wikiwiki.jp/megido72/%E3%83%93%E3%83%95%E3%83%AD%E3%83%B3%E3%82%B9" TargetMode="External"/><Relationship Id="rId213" Type="http://schemas.openxmlformats.org/officeDocument/2006/relationships/hyperlink" Target="https://wikiwiki.jp/megido72/%E3%82%B5%E3%83%AB%E3%82%AC%E3%82%BF%E3%83%8A%E3%82%B9" TargetMode="External"/><Relationship Id="rId234" Type="http://schemas.openxmlformats.org/officeDocument/2006/relationships/hyperlink" Target="https://wikiwiki.jp/megido72/%E3%83%80%E3%82%B4%E3%83%B3%EF%BC%88%E3%83%A9%E3%83%83%E3%82%B7%E3%83%A5%EF%BC%89" TargetMode="External"/><Relationship Id="rId2" Type="http://schemas.openxmlformats.org/officeDocument/2006/relationships/hyperlink" Target="https://wikiwiki.jp/megido72/%E3%83%90%E3%82%A8%E3%83%AB%EF%BC%88%E3%82%AB%E3%82%A6%E3%83%B3%E3%82%BF%E3%83%BC%EF%BC%89" TargetMode="External"/><Relationship Id="rId29" Type="http://schemas.openxmlformats.org/officeDocument/2006/relationships/hyperlink" Target="https://wikiwiki.jp/megido72/%E3%82%A8%E3%83%AA%E3%82%B4%E3%82%B9%EF%BC%88%E3%83%90%E3%83%BC%E3%82%B9%E3%83%88%EF%BC%89" TargetMode="External"/><Relationship Id="rId255" Type="http://schemas.openxmlformats.org/officeDocument/2006/relationships/hyperlink" Target="https://wikiwiki.jp/megido72/%E3%82%A2%E3%82%AF%E3%82%A3%E3%82%A8%E3%83%AB" TargetMode="External"/><Relationship Id="rId40" Type="http://schemas.openxmlformats.org/officeDocument/2006/relationships/hyperlink" Target="https://wikiwiki.jp/megido72/%E3%83%97%E3%83%AB%E3%82%BD%E3%83%B3" TargetMode="External"/><Relationship Id="rId115" Type="http://schemas.openxmlformats.org/officeDocument/2006/relationships/hyperlink" Target="https://wikiwiki.jp/megido72/%E3%82%A2%E3%83%9F%E3%83%BC%EF%BC%88%E3%82%AB%E3%82%A6%E3%83%B3%E3%82%BF%E3%83%BC%EF%BC%89" TargetMode="External"/><Relationship Id="rId136" Type="http://schemas.openxmlformats.org/officeDocument/2006/relationships/hyperlink" Target="https://wikiwiki.jp/megido72/%E3%83%99%E3%83%AA%E3%82%A2%E3%83%AB" TargetMode="External"/><Relationship Id="rId157" Type="http://schemas.openxmlformats.org/officeDocument/2006/relationships/hyperlink" Target="https://wikiwiki.jp/megido72/%E3%83%92%E3%83%A5%E3%83%88%E3%82%AE%E3%83%B3%EF%BC%88%E3%82%AB%E3%82%A6%E3%83%B3%E3%82%BF%E3%83%BC%EF%BC%89" TargetMode="External"/><Relationship Id="rId178" Type="http://schemas.openxmlformats.org/officeDocument/2006/relationships/hyperlink" Target="https://wikiwiki.jp/megido72/%E3%83%96%E3%83%8B" TargetMode="External"/><Relationship Id="rId61" Type="http://schemas.openxmlformats.org/officeDocument/2006/relationships/hyperlink" Target="https://wikiwiki.jp/megido72/%E3%83%95%E3%82%A9%E3%83%A9%E3%82%B9%EF%BC%88%E3%82%AB%E3%82%A6%E3%83%B3%E3%82%BF%E3%83%BC%EF%BC%89" TargetMode="External"/><Relationship Id="rId82" Type="http://schemas.openxmlformats.org/officeDocument/2006/relationships/hyperlink" Target="https://wikiwiki.jp/megido72/%E3%83%95%E3%82%A9%E3%82%AB%E3%83%AD%E3%83%AB" TargetMode="External"/><Relationship Id="rId199" Type="http://schemas.openxmlformats.org/officeDocument/2006/relationships/hyperlink" Target="https://wikiwiki.jp/megido72/%E3%83%8F%E3%83%83%E3%82%AF%EF%BC%88%E3%83%90%E3%83%BC%E3%82%B9%E3%83%88%EF%BC%89" TargetMode="External"/><Relationship Id="rId203" Type="http://schemas.openxmlformats.org/officeDocument/2006/relationships/hyperlink" Target="https://wikiwiki.jp/megido72/%E3%83%A1%E3%83%95%E3%82%A3%E3%82%B9%E3%83%88%EF%BC%88%E3%82%AB%E3%82%A6%E3%83%B3%E3%82%BF%E3%83%BC%EF%BC%89" TargetMode="External"/><Relationship Id="rId19" Type="http://schemas.openxmlformats.org/officeDocument/2006/relationships/hyperlink" Target="https://wikiwiki.jp/megido72/%E3%83%96%E3%82%A8%E3%83%AB%EF%BC%88%E3%83%A9%E3%83%83%E3%82%B7%E3%83%A5%EF%BC%89" TargetMode="External"/><Relationship Id="rId224" Type="http://schemas.openxmlformats.org/officeDocument/2006/relationships/hyperlink" Target="https://wikiwiki.jp/megido72/%E3%82%B8%E3%82%BA%EF%BC%88%E3%83%A9%E3%83%83%E3%82%B7%E3%83%A5%EF%BC%89" TargetMode="External"/><Relationship Id="rId245" Type="http://schemas.openxmlformats.org/officeDocument/2006/relationships/hyperlink" Target="https://wikiwiki.jp/megido72/%E3%83%97%E3%83%AD%E3%83%A1%E3%83%86%E3%82%A6%E3%82%B9" TargetMode="External"/><Relationship Id="rId266" Type="http://schemas.openxmlformats.org/officeDocument/2006/relationships/hyperlink" Target="https://wikiwiki.jp/megido72/%E3%83%81%E3%83%B3%E3%83%AD%E3%83%B3" TargetMode="External"/><Relationship Id="rId30" Type="http://schemas.openxmlformats.org/officeDocument/2006/relationships/hyperlink" Target="https://wikiwiki.jp/megido72/%E3%82%A8%E3%83%AA%E3%82%B4%E3%82%B9" TargetMode="External"/><Relationship Id="rId105" Type="http://schemas.openxmlformats.org/officeDocument/2006/relationships/hyperlink" Target="https://wikiwiki.jp/megido72/%E3%82%AB%E3%82%A4%E3%83%A0%EF%BC%88%E3%83%90%E3%83%BC%E3%82%B9%E3%83%88%EF%BC%89" TargetMode="External"/><Relationship Id="rId126" Type="http://schemas.openxmlformats.org/officeDocument/2006/relationships/hyperlink" Target="https://wikiwiki.jp/megido72/%E3%82%A2%E3%83%B3%E3%83%89%E3%83%A9%E3%82%B9" TargetMode="External"/><Relationship Id="rId147" Type="http://schemas.openxmlformats.org/officeDocument/2006/relationships/hyperlink" Target="https://wikiwiki.jp/megido72/%E3%83%8B%E3%83%90%E3%82%B9%EF%BC%88%E3%83%90%E3%83%BC%E3%82%B9%E3%83%88%EF%BC%89" TargetMode="External"/><Relationship Id="rId168" Type="http://schemas.openxmlformats.org/officeDocument/2006/relationships/hyperlink" Target="https://wikiwiki.jp/megido72/%E3%82%B8%E3%83%8B%E3%83%9E%E3%83%AB" TargetMode="External"/><Relationship Id="rId51" Type="http://schemas.openxmlformats.org/officeDocument/2006/relationships/hyperlink" Target="https://wikiwiki.jp/megido72/%E3%83%96%E3%83%8D%EF%BC%88%E3%83%90%E3%83%BC%E3%82%B9%E3%83%88%EF%BC%89" TargetMode="External"/><Relationship Id="rId72" Type="http://schemas.openxmlformats.org/officeDocument/2006/relationships/hyperlink" Target="https://wikiwiki.jp/megido72/%E3%82%B9%E3%83%88%E3%83%A9%E3%82%B9" TargetMode="External"/><Relationship Id="rId93" Type="http://schemas.openxmlformats.org/officeDocument/2006/relationships/hyperlink" Target="https://wikiwiki.jp/megido72/%E3%82%A6%E3%83%B4%E3%82%A1%E3%83%AB%EF%BC%88%E3%82%AB%E3%82%A6%E3%83%B3%E3%82%BF%E3%83%BC%EF%BC%89" TargetMode="External"/><Relationship Id="rId189" Type="http://schemas.openxmlformats.org/officeDocument/2006/relationships/hyperlink" Target="https://wikiwiki.jp/megido72/%E3%83%8B%E3%82%B9%E3%83%AD%E3%82%AF" TargetMode="External"/><Relationship Id="rId3" Type="http://schemas.openxmlformats.org/officeDocument/2006/relationships/hyperlink" Target="https://wikiwiki.jp/megido72/%E3%82%A2%E3%82%AC%E3%83%AC%E3%82%B9%EF%BC%88%E3%82%AB%E3%82%A6%E3%83%B3%E3%82%BF%E3%83%BC%EF%BC%89" TargetMode="External"/><Relationship Id="rId214" Type="http://schemas.openxmlformats.org/officeDocument/2006/relationships/hyperlink" Target="https://wikiwiki.jp/megido72/%E3%82%BF%E3%83%A0%E3%82%B9" TargetMode="External"/><Relationship Id="rId235" Type="http://schemas.openxmlformats.org/officeDocument/2006/relationships/hyperlink" Target="https://wikiwiki.jp/megido72/%E3%83%80%E3%82%B4%E3%83%B3" TargetMode="External"/><Relationship Id="rId256" Type="http://schemas.openxmlformats.org/officeDocument/2006/relationships/hyperlink" Target="https://wikiwiki.jp/megido72/%E3%82%B2%E3%82%A4%E3%83%9C%E3%83%AB%E3%82%B0" TargetMode="External"/><Relationship Id="rId116" Type="http://schemas.openxmlformats.org/officeDocument/2006/relationships/hyperlink" Target="https://wikiwiki.jp/megido72/%E3%82%A2%E3%83%9F%E3%83%BC" TargetMode="External"/><Relationship Id="rId137" Type="http://schemas.openxmlformats.org/officeDocument/2006/relationships/hyperlink" Target="https://wikiwiki.jp/megido72/%E3%83%87%E3%82%AB%E3%83%A9%E3%83%93%E3%82%A2%EF%BC%88%E3%83%90%E3%83%BC%E3%82%B9%E3%83%88%EF%BC%89" TargetMode="External"/><Relationship Id="rId158" Type="http://schemas.openxmlformats.org/officeDocument/2006/relationships/hyperlink" Target="https://wikiwiki.jp/megido72/%E3%83%92%E3%83%A5%E3%83%88%E3%82%AE%E3%83%B3" TargetMode="External"/><Relationship Id="rId20" Type="http://schemas.openxmlformats.org/officeDocument/2006/relationships/hyperlink" Target="https://wikiwiki.jp/megido72/%E3%83%96%E3%82%A8%E3%83%AB" TargetMode="External"/><Relationship Id="rId41" Type="http://schemas.openxmlformats.org/officeDocument/2006/relationships/hyperlink" Target="https://wikiwiki.jp/megido72/%E3%83%A2%E3%83%A9%E3%82%AF%E3%82%B9%EF%BC%88%E3%83%A9%E3%83%83%E3%82%B7%E3%83%A5%EF%BC%89" TargetMode="External"/><Relationship Id="rId62" Type="http://schemas.openxmlformats.org/officeDocument/2006/relationships/hyperlink" Target="https://wikiwiki.jp/megido72/%E3%83%95%E3%82%A9%E3%83%A9%E3%82%B9" TargetMode="External"/><Relationship Id="rId83" Type="http://schemas.openxmlformats.org/officeDocument/2006/relationships/hyperlink" Target="https://wikiwiki.jp/megido72/%E3%82%A6%E3%82%A7%E3%83%91%E3%83%AB%EF%BC%88%E3%83%90%E3%83%BC%E3%82%B9%E3%83%88%EF%BC%89" TargetMode="External"/><Relationship Id="rId179" Type="http://schemas.openxmlformats.org/officeDocument/2006/relationships/hyperlink" Target="https://wikiwiki.jp/megido72/%E3%82%AA%E3%83%AA%E3%82%A8%E3%83%B3%E3%82%B9%EF%BC%88%E3%83%90%E3%83%BC%E3%82%B9%E3%83%88%EF%BC%89" TargetMode="External"/><Relationship Id="rId190" Type="http://schemas.openxmlformats.org/officeDocument/2006/relationships/hyperlink" Target="https://wikiwiki.jp/megido72/%E3%82%AA%E3%83%AC%E3%82%A4" TargetMode="External"/><Relationship Id="rId204" Type="http://schemas.openxmlformats.org/officeDocument/2006/relationships/hyperlink" Target="https://wikiwiki.jp/megido72/%E3%83%A1%E3%83%95%E3%82%A3%E3%82%B9%E3%83%88" TargetMode="External"/><Relationship Id="rId225" Type="http://schemas.openxmlformats.org/officeDocument/2006/relationships/hyperlink" Target="https://wikiwiki.jp/megido72/%E3%82%B8%E3%82%BA" TargetMode="External"/><Relationship Id="rId246" Type="http://schemas.openxmlformats.org/officeDocument/2006/relationships/hyperlink" Target="https://wikiwiki.jp/megido72/%E3%83%99%E3%83%AB%E3%83%95%E3%82%A7%E3%82%B4%E3%83%BC%E3%83%AB" TargetMode="External"/><Relationship Id="rId267" Type="http://schemas.openxmlformats.org/officeDocument/2006/relationships/hyperlink" Target="https://wikiwiki.jp/megido72/%E3%83%90%E3%82%A4%E3%83%95%E3%83%BC" TargetMode="External"/><Relationship Id="rId106" Type="http://schemas.openxmlformats.org/officeDocument/2006/relationships/hyperlink" Target="https://wikiwiki.jp/megido72/%E3%82%AB%E3%82%A4%E3%83%A0" TargetMode="External"/><Relationship Id="rId127" Type="http://schemas.openxmlformats.org/officeDocument/2006/relationships/hyperlink" Target="https://wikiwiki.jp/megido72/%E3%83%95%E3%83%A9%E3%82%A6%E3%83%AD%E3%82%B9%EF%BC%88%E3%83%90%E3%83%BC%E3%82%B9%E3%83%88%EF%BC%89" TargetMode="External"/><Relationship Id="rId10" Type="http://schemas.openxmlformats.org/officeDocument/2006/relationships/hyperlink" Target="https://wikiwiki.jp/megido72/%E3%83%9E%E3%83%AB%E3%83%90%E3%82%B9" TargetMode="External"/><Relationship Id="rId31" Type="http://schemas.openxmlformats.org/officeDocument/2006/relationships/hyperlink" Target="https://wikiwiki.jp/megido72/%E3%82%BC%E3%83%91%E3%83%AB%EF%BC%88%E3%82%AB%E3%82%A6%E3%83%B3%E3%82%BF%E3%83%BC%EF%BC%89" TargetMode="External"/><Relationship Id="rId52" Type="http://schemas.openxmlformats.org/officeDocument/2006/relationships/hyperlink" Target="https://wikiwiki.jp/megido72/%E3%83%96%E3%83%8D" TargetMode="External"/><Relationship Id="rId73" Type="http://schemas.openxmlformats.org/officeDocument/2006/relationships/hyperlink" Target="https://wikiwiki.jp/megido72/%E3%83%95%E3%82%A7%E3%83%8B%E3%83%83%E3%82%AF%E3%82%B9%EF%BC%88%E3%82%AB%E3%82%A6%E3%83%B3%E3%82%BF%E3%83%BC%EF%BC%89" TargetMode="External"/><Relationship Id="rId94" Type="http://schemas.openxmlformats.org/officeDocument/2006/relationships/hyperlink" Target="https://wikiwiki.jp/megido72/%E3%82%A6%E3%83%B4%E3%82%A1%E3%83%AB" TargetMode="External"/><Relationship Id="rId148" Type="http://schemas.openxmlformats.org/officeDocument/2006/relationships/hyperlink" Target="https://wikiwiki.jp/megido72/%E3%83%8B%E3%83%90%E3%82%B9" TargetMode="External"/><Relationship Id="rId169" Type="http://schemas.openxmlformats.org/officeDocument/2006/relationships/hyperlink" Target="https://wikiwiki.jp/megido72/%E3%83%90%E3%83%95%E3%82%A9%E3%83%A1%E3%83%83%E3%83%88" TargetMode="External"/><Relationship Id="rId4" Type="http://schemas.openxmlformats.org/officeDocument/2006/relationships/hyperlink" Target="https://wikiwiki.jp/megido72/%E3%82%A2%E3%82%AC%E3%83%AC%E3%82%B9" TargetMode="External"/><Relationship Id="rId180" Type="http://schemas.openxmlformats.org/officeDocument/2006/relationships/hyperlink" Target="https://wikiwiki.jp/megido72/%E3%82%AA%E3%83%AA%E3%82%A8%E3%83%B3%E3%82%B9" TargetMode="External"/><Relationship Id="rId215" Type="http://schemas.openxmlformats.org/officeDocument/2006/relationships/hyperlink" Target="https://wikiwiki.jp/megido72/%E3%83%81%E3%82%A7%E3%83%AB%E3%83%8E%E3%83%9C%E3%82%B0" TargetMode="External"/><Relationship Id="rId236" Type="http://schemas.openxmlformats.org/officeDocument/2006/relationships/hyperlink" Target="https://wikiwiki.jp/megido72/%E3%82%B9%E3%82%B3%E3%83%AB%E3%83%99%E3%83%8E%E3%83%88%EF%BC%88%E3%83%A9%E3%83%83%E3%82%B7%E3%83%A5%EF%BC%89" TargetMode="External"/><Relationship Id="rId257" Type="http://schemas.openxmlformats.org/officeDocument/2006/relationships/hyperlink" Target="https://wikiwiki.jp/megido72/%E3%83%AA%E3%83%AA%E3%82%B9" TargetMode="External"/><Relationship Id="rId42" Type="http://schemas.openxmlformats.org/officeDocument/2006/relationships/hyperlink" Target="https://wikiwiki.jp/megido72/%E3%83%A2%E3%83%A9%E3%82%AF%E3%82%B9" TargetMode="External"/><Relationship Id="rId84" Type="http://schemas.openxmlformats.org/officeDocument/2006/relationships/hyperlink" Target="https://wikiwiki.jp/megido72/%E3%82%A6%E3%82%A7%E3%83%91%E3%83%AB" TargetMode="External"/><Relationship Id="rId138" Type="http://schemas.openxmlformats.org/officeDocument/2006/relationships/hyperlink" Target="https://wikiwiki.jp/megido72/%E3%83%87%E3%82%AB%E3%83%A9%E3%83%93%E3%82%A2" TargetMode="External"/><Relationship Id="rId191" Type="http://schemas.openxmlformats.org/officeDocument/2006/relationships/hyperlink" Target="https://wikiwiki.jp/megido72/%E3%83%9E%E3%83%AB%E3%83%81%E3%83%8D%EF%BC%88%E3%82%AB%E3%82%A6%E3%83%B3%E3%82%BF%E3%83%BC%EF%BC%89" TargetMode="External"/><Relationship Id="rId205" Type="http://schemas.openxmlformats.org/officeDocument/2006/relationships/hyperlink" Target="https://wikiwiki.jp/megido72/%E3%83%8D%E3%83%93%E3%83%AD%E3%82%B9" TargetMode="External"/><Relationship Id="rId247" Type="http://schemas.openxmlformats.org/officeDocument/2006/relationships/hyperlink" Target="https://wikiwiki.jp/megido72/%E3%83%9E%E3%83%A2%E3%83%B3" TargetMode="External"/><Relationship Id="rId107" Type="http://schemas.openxmlformats.org/officeDocument/2006/relationships/hyperlink" Target="https://wikiwiki.jp/megido72/%E3%83%A0%E3%83%AB%E3%83%A0%E3%83%AB%EF%BC%88%E3%82%AB%E3%82%A6%E3%83%B3%E3%82%BF%E3%83%BC%EF%BC%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8.7109375" customWidth="1"/>
    <col min="2" max="2" width="9.5703125" customWidth="1"/>
    <col min="3" max="10" width="8.7109375" customWidth="1"/>
    <col min="11" max="11" width="14.5703125" customWidth="1"/>
    <col min="12" max="18" width="8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Q1" s="3"/>
    </row>
    <row r="2" spans="1:17" x14ac:dyDescent="0.25">
      <c r="A2" s="4" t="s">
        <v>12</v>
      </c>
      <c r="B2" s="5" t="s">
        <v>13</v>
      </c>
      <c r="C2" s="6" t="s">
        <v>14</v>
      </c>
      <c r="D2" s="6" t="s">
        <v>15</v>
      </c>
      <c r="E2" s="6" t="s">
        <v>16</v>
      </c>
      <c r="F2" s="6"/>
      <c r="G2" s="6"/>
      <c r="H2" s="6">
        <v>124</v>
      </c>
      <c r="I2" s="6" t="s">
        <v>17</v>
      </c>
      <c r="J2" s="6"/>
      <c r="K2" s="7">
        <v>44937</v>
      </c>
      <c r="L2" s="6" t="s">
        <v>18</v>
      </c>
      <c r="Q2" s="8"/>
    </row>
    <row r="3" spans="1:17" x14ac:dyDescent="0.25">
      <c r="A3" s="4" t="s">
        <v>12</v>
      </c>
      <c r="B3" s="9" t="s">
        <v>19</v>
      </c>
      <c r="C3" s="6" t="s">
        <v>20</v>
      </c>
      <c r="D3" s="6" t="s">
        <v>21</v>
      </c>
      <c r="E3" s="6" t="s">
        <v>16</v>
      </c>
      <c r="F3" s="6"/>
      <c r="G3" s="6"/>
      <c r="H3" s="6">
        <v>124</v>
      </c>
      <c r="I3" s="6" t="s">
        <v>17</v>
      </c>
      <c r="J3" s="6"/>
      <c r="K3" s="7">
        <v>44937</v>
      </c>
      <c r="L3" s="6" t="s">
        <v>18</v>
      </c>
      <c r="Q3" s="8"/>
    </row>
    <row r="4" spans="1:17" x14ac:dyDescent="0.25">
      <c r="A4" s="4" t="s">
        <v>22</v>
      </c>
      <c r="B4" s="9" t="s">
        <v>23</v>
      </c>
      <c r="C4" s="6" t="s">
        <v>24</v>
      </c>
      <c r="D4" s="6" t="s">
        <v>21</v>
      </c>
      <c r="E4" s="6" t="s">
        <v>16</v>
      </c>
      <c r="F4" s="6"/>
      <c r="G4" s="6"/>
      <c r="H4" s="6">
        <v>186</v>
      </c>
      <c r="I4" s="6" t="s">
        <v>17</v>
      </c>
      <c r="J4" s="6">
        <v>26</v>
      </c>
      <c r="K4" s="7">
        <v>45106</v>
      </c>
      <c r="L4" s="6" t="s">
        <v>25</v>
      </c>
      <c r="Q4" s="8"/>
    </row>
    <row r="5" spans="1:17" x14ac:dyDescent="0.25">
      <c r="A5" s="4" t="s">
        <v>22</v>
      </c>
      <c r="B5" s="5" t="s">
        <v>26</v>
      </c>
      <c r="C5" s="6" t="s">
        <v>20</v>
      </c>
      <c r="D5" s="6" t="s">
        <v>15</v>
      </c>
      <c r="E5" s="6" t="s">
        <v>16</v>
      </c>
      <c r="F5" s="6"/>
      <c r="G5" s="6"/>
      <c r="H5" s="6">
        <v>186</v>
      </c>
      <c r="I5" s="6" t="s">
        <v>17</v>
      </c>
      <c r="J5" s="6">
        <v>26</v>
      </c>
      <c r="K5" s="7">
        <v>45106</v>
      </c>
      <c r="L5" s="6" t="s">
        <v>25</v>
      </c>
      <c r="Q5" s="8"/>
    </row>
    <row r="6" spans="1:17" x14ac:dyDescent="0.25">
      <c r="A6" s="4" t="s">
        <v>27</v>
      </c>
      <c r="B6" s="5" t="s">
        <v>28</v>
      </c>
      <c r="C6" s="6" t="s">
        <v>20</v>
      </c>
      <c r="D6" s="6" t="s">
        <v>15</v>
      </c>
      <c r="E6" s="6" t="s">
        <v>29</v>
      </c>
      <c r="F6" s="6"/>
      <c r="G6" s="6"/>
      <c r="H6" s="6">
        <v>164</v>
      </c>
      <c r="I6" s="6" t="s">
        <v>30</v>
      </c>
      <c r="J6" s="6">
        <v>19</v>
      </c>
      <c r="K6" s="7">
        <v>45021</v>
      </c>
      <c r="L6" s="6" t="s">
        <v>25</v>
      </c>
      <c r="Q6" s="8"/>
    </row>
    <row r="7" spans="1:17" x14ac:dyDescent="0.25">
      <c r="A7" s="4" t="s">
        <v>27</v>
      </c>
      <c r="B7" s="10" t="s">
        <v>31</v>
      </c>
      <c r="C7" s="6" t="s">
        <v>20</v>
      </c>
      <c r="D7" s="6" t="s">
        <v>32</v>
      </c>
      <c r="E7" s="6" t="s">
        <v>29</v>
      </c>
      <c r="F7" s="6"/>
      <c r="G7" s="6"/>
      <c r="H7" s="6">
        <v>164</v>
      </c>
      <c r="I7" s="6" t="s">
        <v>30</v>
      </c>
      <c r="J7" s="6">
        <v>19</v>
      </c>
      <c r="K7" s="7">
        <v>45021</v>
      </c>
      <c r="L7" s="6" t="s">
        <v>25</v>
      </c>
      <c r="Q7" s="8"/>
    </row>
    <row r="8" spans="1:17" x14ac:dyDescent="0.25">
      <c r="A8" s="4" t="s">
        <v>33</v>
      </c>
      <c r="B8" s="5" t="s">
        <v>34</v>
      </c>
      <c r="C8" s="6" t="s">
        <v>24</v>
      </c>
      <c r="D8" s="6" t="s">
        <v>15</v>
      </c>
      <c r="E8" s="6" t="s">
        <v>29</v>
      </c>
      <c r="F8" s="6"/>
      <c r="G8" s="6"/>
      <c r="H8" s="6">
        <v>185</v>
      </c>
      <c r="I8" s="6" t="s">
        <v>17</v>
      </c>
      <c r="J8" s="6">
        <v>28</v>
      </c>
      <c r="K8" s="7">
        <v>45002</v>
      </c>
      <c r="L8" s="6" t="s">
        <v>25</v>
      </c>
      <c r="Q8" s="8"/>
    </row>
    <row r="9" spans="1:17" x14ac:dyDescent="0.25">
      <c r="A9" s="4" t="s">
        <v>33</v>
      </c>
      <c r="B9" s="9" t="s">
        <v>35</v>
      </c>
      <c r="C9" s="6" t="s">
        <v>20</v>
      </c>
      <c r="D9" s="6" t="s">
        <v>21</v>
      </c>
      <c r="E9" s="6" t="s">
        <v>29</v>
      </c>
      <c r="F9" s="6"/>
      <c r="G9" s="6"/>
      <c r="H9" s="6">
        <v>185</v>
      </c>
      <c r="I9" s="6" t="s">
        <v>17</v>
      </c>
      <c r="J9" s="6">
        <v>28</v>
      </c>
      <c r="K9" s="7">
        <v>45002</v>
      </c>
      <c r="L9" s="6" t="s">
        <v>25</v>
      </c>
      <c r="Q9" s="8"/>
    </row>
    <row r="10" spans="1:17" x14ac:dyDescent="0.25">
      <c r="A10" s="4" t="s">
        <v>36</v>
      </c>
      <c r="B10" s="10" t="s">
        <v>37</v>
      </c>
      <c r="C10" s="6" t="s">
        <v>24</v>
      </c>
      <c r="D10" s="6" t="s">
        <v>32</v>
      </c>
      <c r="E10" s="6" t="s">
        <v>16</v>
      </c>
      <c r="F10" s="6"/>
      <c r="G10" s="6"/>
      <c r="H10" s="6">
        <v>145</v>
      </c>
      <c r="I10" s="6" t="s">
        <v>30</v>
      </c>
      <c r="J10" s="6">
        <v>14</v>
      </c>
      <c r="K10" s="7">
        <v>45031</v>
      </c>
      <c r="L10" s="6" t="s">
        <v>25</v>
      </c>
      <c r="Q10" s="8"/>
    </row>
    <row r="11" spans="1:17" x14ac:dyDescent="0.25">
      <c r="A11" s="4" t="s">
        <v>36</v>
      </c>
      <c r="B11" s="9" t="s">
        <v>38</v>
      </c>
      <c r="C11" s="6" t="s">
        <v>20</v>
      </c>
      <c r="D11" s="6" t="s">
        <v>21</v>
      </c>
      <c r="E11" s="6" t="s">
        <v>16</v>
      </c>
      <c r="F11" s="6"/>
      <c r="G11" s="6"/>
      <c r="H11" s="6">
        <v>145</v>
      </c>
      <c r="I11" s="6" t="s">
        <v>30</v>
      </c>
      <c r="J11" s="6">
        <v>14</v>
      </c>
      <c r="K11" s="7">
        <v>45031</v>
      </c>
      <c r="L11" s="6" t="s">
        <v>25</v>
      </c>
      <c r="Q11" s="8"/>
    </row>
    <row r="12" spans="1:17" x14ac:dyDescent="0.25">
      <c r="A12" s="4" t="s">
        <v>39</v>
      </c>
      <c r="B12" s="9" t="s">
        <v>40</v>
      </c>
      <c r="C12" s="6" t="s">
        <v>20</v>
      </c>
      <c r="D12" s="6" t="s">
        <v>21</v>
      </c>
      <c r="E12" s="6" t="s">
        <v>29</v>
      </c>
      <c r="F12" s="6"/>
      <c r="G12" s="6"/>
      <c r="H12" s="6">
        <v>181</v>
      </c>
      <c r="I12" s="6" t="s">
        <v>30</v>
      </c>
      <c r="J12" s="6">
        <v>25</v>
      </c>
      <c r="K12" s="7">
        <v>45005</v>
      </c>
      <c r="L12" s="6" t="s">
        <v>18</v>
      </c>
      <c r="Q12" s="8"/>
    </row>
    <row r="13" spans="1:17" x14ac:dyDescent="0.25">
      <c r="A13" s="4" t="s">
        <v>39</v>
      </c>
      <c r="B13" s="10" t="s">
        <v>41</v>
      </c>
      <c r="C13" s="6" t="s">
        <v>20</v>
      </c>
      <c r="D13" s="6" t="s">
        <v>32</v>
      </c>
      <c r="E13" s="6" t="s">
        <v>29</v>
      </c>
      <c r="F13" s="6">
        <v>2</v>
      </c>
      <c r="G13" s="6"/>
      <c r="H13" s="6">
        <v>181</v>
      </c>
      <c r="I13" s="6" t="s">
        <v>30</v>
      </c>
      <c r="J13" s="6">
        <v>25</v>
      </c>
      <c r="K13" s="7">
        <v>45005</v>
      </c>
      <c r="L13" s="6" t="s">
        <v>25</v>
      </c>
      <c r="Q13" s="8"/>
    </row>
    <row r="14" spans="1:17" x14ac:dyDescent="0.25">
      <c r="A14" s="4" t="s">
        <v>42</v>
      </c>
      <c r="B14" s="10" t="s">
        <v>43</v>
      </c>
      <c r="C14" s="6" t="s">
        <v>20</v>
      </c>
      <c r="D14" s="6" t="s">
        <v>32</v>
      </c>
      <c r="E14" s="6" t="s">
        <v>29</v>
      </c>
      <c r="F14" s="6">
        <v>3</v>
      </c>
      <c r="G14" s="6"/>
      <c r="H14" s="6">
        <v>153</v>
      </c>
      <c r="I14" s="6" t="s">
        <v>17</v>
      </c>
      <c r="J14" s="6">
        <v>13</v>
      </c>
      <c r="K14" s="7">
        <v>45157</v>
      </c>
      <c r="L14" s="6" t="s">
        <v>44</v>
      </c>
      <c r="Q14" s="8"/>
    </row>
    <row r="15" spans="1:17" x14ac:dyDescent="0.25">
      <c r="A15" s="4" t="s">
        <v>42</v>
      </c>
      <c r="B15" s="5" t="s">
        <v>45</v>
      </c>
      <c r="C15" s="6" t="s">
        <v>20</v>
      </c>
      <c r="D15" s="6" t="s">
        <v>15</v>
      </c>
      <c r="E15" s="6" t="s">
        <v>29</v>
      </c>
      <c r="F15" s="6"/>
      <c r="G15" s="6"/>
      <c r="H15" s="6">
        <v>153</v>
      </c>
      <c r="I15" s="6" t="s">
        <v>17</v>
      </c>
      <c r="J15" s="6">
        <v>13</v>
      </c>
      <c r="K15" s="7">
        <v>45157</v>
      </c>
      <c r="L15" s="6" t="s">
        <v>44</v>
      </c>
      <c r="Q15" s="8"/>
    </row>
    <row r="16" spans="1:17" x14ac:dyDescent="0.25">
      <c r="A16" s="4" t="s">
        <v>46</v>
      </c>
      <c r="B16" s="10" t="s">
        <v>47</v>
      </c>
      <c r="C16" s="6" t="s">
        <v>20</v>
      </c>
      <c r="D16" s="6" t="s">
        <v>32</v>
      </c>
      <c r="E16" s="6" t="s">
        <v>16</v>
      </c>
      <c r="F16" s="6"/>
      <c r="G16" s="6"/>
      <c r="H16" s="6">
        <v>173</v>
      </c>
      <c r="I16" s="6" t="s">
        <v>17</v>
      </c>
      <c r="J16" s="6"/>
      <c r="K16" s="7">
        <v>45086</v>
      </c>
      <c r="L16" s="6" t="s">
        <v>48</v>
      </c>
      <c r="Q16" s="8"/>
    </row>
    <row r="17" spans="1:17" x14ac:dyDescent="0.25">
      <c r="A17" s="4" t="s">
        <v>46</v>
      </c>
      <c r="B17" s="9" t="s">
        <v>49</v>
      </c>
      <c r="C17" s="6" t="s">
        <v>14</v>
      </c>
      <c r="D17" s="6" t="s">
        <v>21</v>
      </c>
      <c r="E17" s="6" t="s">
        <v>16</v>
      </c>
      <c r="F17" s="6"/>
      <c r="G17" s="6"/>
      <c r="H17" s="6">
        <v>173</v>
      </c>
      <c r="I17" s="6" t="s">
        <v>17</v>
      </c>
      <c r="J17" s="6"/>
      <c r="K17" s="7">
        <v>45086</v>
      </c>
      <c r="L17" s="6" t="s">
        <v>48</v>
      </c>
      <c r="Q17" s="8"/>
    </row>
    <row r="18" spans="1:17" x14ac:dyDescent="0.25">
      <c r="A18" s="4" t="s">
        <v>50</v>
      </c>
      <c r="B18" s="5" t="s">
        <v>51</v>
      </c>
      <c r="C18" s="6" t="s">
        <v>20</v>
      </c>
      <c r="D18" s="6" t="s">
        <v>15</v>
      </c>
      <c r="E18" s="6" t="s">
        <v>29</v>
      </c>
      <c r="F18" s="6"/>
      <c r="G18" s="6"/>
      <c r="H18" s="6">
        <v>179</v>
      </c>
      <c r="I18" s="6" t="s">
        <v>17</v>
      </c>
      <c r="J18" s="6"/>
      <c r="K18" s="7">
        <v>45188</v>
      </c>
      <c r="L18" s="6" t="s">
        <v>52</v>
      </c>
      <c r="Q18" s="8"/>
    </row>
    <row r="19" spans="1:17" x14ac:dyDescent="0.25">
      <c r="A19" s="4" t="s">
        <v>50</v>
      </c>
      <c r="B19" s="10" t="s">
        <v>53</v>
      </c>
      <c r="C19" s="6" t="s">
        <v>14</v>
      </c>
      <c r="D19" s="6" t="s">
        <v>32</v>
      </c>
      <c r="E19" s="6" t="s">
        <v>29</v>
      </c>
      <c r="F19" s="6"/>
      <c r="G19" s="6"/>
      <c r="H19" s="6">
        <v>179</v>
      </c>
      <c r="I19" s="6" t="s">
        <v>17</v>
      </c>
      <c r="J19" s="6"/>
      <c r="K19" s="7">
        <v>45188</v>
      </c>
      <c r="L19" s="6" t="s">
        <v>52</v>
      </c>
      <c r="Q19" s="8"/>
    </row>
    <row r="20" spans="1:17" x14ac:dyDescent="0.25">
      <c r="A20" s="4" t="s">
        <v>54</v>
      </c>
      <c r="B20" s="10" t="s">
        <v>55</v>
      </c>
      <c r="C20" s="6" t="s">
        <v>20</v>
      </c>
      <c r="D20" s="6" t="s">
        <v>32</v>
      </c>
      <c r="E20" s="6" t="s">
        <v>16</v>
      </c>
      <c r="F20" s="6"/>
      <c r="G20" s="6"/>
      <c r="H20" s="6">
        <v>148</v>
      </c>
      <c r="I20" s="6" t="s">
        <v>30</v>
      </c>
      <c r="J20" s="6">
        <v>14</v>
      </c>
      <c r="K20" s="7">
        <v>44944</v>
      </c>
      <c r="L20" s="6" t="s">
        <v>52</v>
      </c>
      <c r="Q20" s="8"/>
    </row>
    <row r="21" spans="1:17" x14ac:dyDescent="0.25">
      <c r="A21" s="4" t="s">
        <v>54</v>
      </c>
      <c r="B21" s="5" t="s">
        <v>56</v>
      </c>
      <c r="C21" s="6" t="s">
        <v>20</v>
      </c>
      <c r="D21" s="6" t="s">
        <v>15</v>
      </c>
      <c r="E21" s="6" t="s">
        <v>16</v>
      </c>
      <c r="F21" s="6"/>
      <c r="G21" s="6"/>
      <c r="H21" s="6">
        <v>148</v>
      </c>
      <c r="I21" s="6" t="s">
        <v>30</v>
      </c>
      <c r="J21" s="6">
        <v>14</v>
      </c>
      <c r="K21" s="7">
        <v>44944</v>
      </c>
      <c r="L21" s="6" t="s">
        <v>52</v>
      </c>
      <c r="Q21" s="8"/>
    </row>
    <row r="22" spans="1:17" x14ac:dyDescent="0.25">
      <c r="A22" s="4" t="s">
        <v>57</v>
      </c>
      <c r="B22" s="5" t="s">
        <v>58</v>
      </c>
      <c r="C22" s="6" t="s">
        <v>24</v>
      </c>
      <c r="D22" s="6" t="s">
        <v>15</v>
      </c>
      <c r="E22" s="6" t="s">
        <v>16</v>
      </c>
      <c r="F22" s="6"/>
      <c r="G22" s="6"/>
      <c r="H22" s="6">
        <v>140</v>
      </c>
      <c r="I22" s="6" t="s">
        <v>30</v>
      </c>
      <c r="J22" s="6">
        <v>12</v>
      </c>
      <c r="K22" s="7">
        <v>45173</v>
      </c>
      <c r="L22" s="6" t="s">
        <v>18</v>
      </c>
      <c r="Q22" s="8"/>
    </row>
    <row r="23" spans="1:17" x14ac:dyDescent="0.25">
      <c r="A23" s="4" t="s">
        <v>57</v>
      </c>
      <c r="B23" s="9" t="s">
        <v>59</v>
      </c>
      <c r="C23" s="6" t="s">
        <v>20</v>
      </c>
      <c r="D23" s="6" t="s">
        <v>21</v>
      </c>
      <c r="E23" s="6" t="s">
        <v>16</v>
      </c>
      <c r="F23" s="6"/>
      <c r="G23" s="6"/>
      <c r="H23" s="6">
        <v>140</v>
      </c>
      <c r="I23" s="6" t="s">
        <v>30</v>
      </c>
      <c r="J23" s="6">
        <v>12</v>
      </c>
      <c r="K23" s="7">
        <v>45173</v>
      </c>
      <c r="L23" s="6" t="s">
        <v>18</v>
      </c>
      <c r="Q23" s="8"/>
    </row>
    <row r="24" spans="1:17" x14ac:dyDescent="0.25">
      <c r="A24" s="4" t="s">
        <v>60</v>
      </c>
      <c r="B24" s="10" t="s">
        <v>61</v>
      </c>
      <c r="C24" s="6" t="s">
        <v>24</v>
      </c>
      <c r="D24" s="6" t="s">
        <v>32</v>
      </c>
      <c r="E24" s="6" t="s">
        <v>62</v>
      </c>
      <c r="F24" s="6"/>
      <c r="G24" s="6"/>
      <c r="H24" s="6">
        <v>165</v>
      </c>
      <c r="I24" s="6" t="s">
        <v>30</v>
      </c>
      <c r="J24" s="6"/>
      <c r="K24" s="7">
        <v>44966</v>
      </c>
      <c r="L24" s="6" t="s">
        <v>52</v>
      </c>
      <c r="Q24" s="8"/>
    </row>
    <row r="25" spans="1:17" x14ac:dyDescent="0.25">
      <c r="A25" s="4" t="s">
        <v>60</v>
      </c>
      <c r="B25" s="9" t="s">
        <v>63</v>
      </c>
      <c r="C25" s="6" t="s">
        <v>20</v>
      </c>
      <c r="D25" s="6" t="s">
        <v>21</v>
      </c>
      <c r="E25" s="6" t="s">
        <v>62</v>
      </c>
      <c r="F25" s="6">
        <v>2</v>
      </c>
      <c r="G25" s="6"/>
      <c r="H25" s="6">
        <v>165</v>
      </c>
      <c r="I25" s="6" t="s">
        <v>30</v>
      </c>
      <c r="J25" s="6"/>
      <c r="K25" s="7">
        <v>44966</v>
      </c>
      <c r="L25" s="6" t="s">
        <v>18</v>
      </c>
      <c r="Q25" s="8"/>
    </row>
    <row r="26" spans="1:17" x14ac:dyDescent="0.25">
      <c r="A26" s="4" t="s">
        <v>64</v>
      </c>
      <c r="B26" s="5" t="s">
        <v>65</v>
      </c>
      <c r="C26" s="6" t="s">
        <v>20</v>
      </c>
      <c r="D26" s="6" t="s">
        <v>15</v>
      </c>
      <c r="E26" s="6" t="s">
        <v>62</v>
      </c>
      <c r="F26" s="6"/>
      <c r="G26" s="6"/>
      <c r="H26" s="6">
        <v>147</v>
      </c>
      <c r="I26" s="6" t="s">
        <v>30</v>
      </c>
      <c r="J26" s="6">
        <v>15</v>
      </c>
      <c r="K26" s="7">
        <v>44948</v>
      </c>
      <c r="L26" s="6" t="s">
        <v>66</v>
      </c>
      <c r="Q26" s="8"/>
    </row>
    <row r="27" spans="1:17" x14ac:dyDescent="0.25">
      <c r="A27" s="4" t="s">
        <v>64</v>
      </c>
      <c r="B27" s="9" t="s">
        <v>67</v>
      </c>
      <c r="C27" s="6" t="s">
        <v>14</v>
      </c>
      <c r="D27" s="6" t="s">
        <v>21</v>
      </c>
      <c r="E27" s="6" t="s">
        <v>62</v>
      </c>
      <c r="F27" s="6"/>
      <c r="G27" s="6"/>
      <c r="H27" s="6">
        <v>147</v>
      </c>
      <c r="I27" s="6" t="s">
        <v>30</v>
      </c>
      <c r="J27" s="6">
        <v>15</v>
      </c>
      <c r="K27" s="7">
        <v>44948</v>
      </c>
      <c r="L27" s="6" t="s">
        <v>66</v>
      </c>
      <c r="Q27" s="8"/>
    </row>
    <row r="28" spans="1:17" x14ac:dyDescent="0.25">
      <c r="A28" s="4" t="s">
        <v>68</v>
      </c>
      <c r="B28" s="10" t="s">
        <v>69</v>
      </c>
      <c r="C28" s="6" t="s">
        <v>24</v>
      </c>
      <c r="D28" s="6" t="s">
        <v>32</v>
      </c>
      <c r="E28" s="6" t="s">
        <v>16</v>
      </c>
      <c r="F28" s="6"/>
      <c r="G28" s="6"/>
      <c r="H28" s="6">
        <v>161</v>
      </c>
      <c r="I28" s="6" t="s">
        <v>30</v>
      </c>
      <c r="J28" s="6">
        <v>18</v>
      </c>
      <c r="K28" s="7">
        <v>45029</v>
      </c>
      <c r="L28" s="6" t="s">
        <v>48</v>
      </c>
      <c r="Q28" s="8"/>
    </row>
    <row r="29" spans="1:17" x14ac:dyDescent="0.25">
      <c r="A29" s="4" t="s">
        <v>68</v>
      </c>
      <c r="B29" s="9" t="s">
        <v>70</v>
      </c>
      <c r="C29" s="6" t="s">
        <v>20</v>
      </c>
      <c r="D29" s="6" t="s">
        <v>21</v>
      </c>
      <c r="E29" s="6" t="s">
        <v>16</v>
      </c>
      <c r="F29" s="6"/>
      <c r="G29" s="6"/>
      <c r="H29" s="6">
        <v>161</v>
      </c>
      <c r="I29" s="6" t="s">
        <v>30</v>
      </c>
      <c r="J29" s="6">
        <v>18</v>
      </c>
      <c r="K29" s="7">
        <v>45029</v>
      </c>
      <c r="L29" s="6" t="s">
        <v>48</v>
      </c>
      <c r="Q29" s="8"/>
    </row>
    <row r="30" spans="1:17" x14ac:dyDescent="0.25">
      <c r="A30" s="4" t="s">
        <v>71</v>
      </c>
      <c r="B30" s="5" t="s">
        <v>72</v>
      </c>
      <c r="C30" s="6" t="s">
        <v>20</v>
      </c>
      <c r="D30" s="6" t="s">
        <v>15</v>
      </c>
      <c r="E30" s="6" t="s">
        <v>29</v>
      </c>
      <c r="F30" s="6">
        <v>2</v>
      </c>
      <c r="G30" s="6"/>
      <c r="H30" s="6">
        <v>163</v>
      </c>
      <c r="I30" s="6" t="s">
        <v>30</v>
      </c>
      <c r="J30" s="6">
        <v>25</v>
      </c>
      <c r="K30" s="7">
        <v>45055</v>
      </c>
      <c r="L30" s="6" t="s">
        <v>44</v>
      </c>
      <c r="Q30" s="8"/>
    </row>
    <row r="31" spans="1:17" x14ac:dyDescent="0.25">
      <c r="A31" s="4" t="s">
        <v>71</v>
      </c>
      <c r="B31" s="10" t="s">
        <v>73</v>
      </c>
      <c r="C31" s="6" t="s">
        <v>20</v>
      </c>
      <c r="D31" s="6" t="s">
        <v>32</v>
      </c>
      <c r="E31" s="6" t="s">
        <v>29</v>
      </c>
      <c r="F31" s="6">
        <v>2</v>
      </c>
      <c r="G31" s="6"/>
      <c r="H31" s="6">
        <v>163</v>
      </c>
      <c r="I31" s="6" t="s">
        <v>30</v>
      </c>
      <c r="J31" s="6">
        <v>25</v>
      </c>
      <c r="K31" s="7">
        <v>45055</v>
      </c>
      <c r="L31" s="6" t="s">
        <v>18</v>
      </c>
      <c r="Q31" s="8"/>
    </row>
    <row r="32" spans="1:17" x14ac:dyDescent="0.25">
      <c r="A32" s="4" t="s">
        <v>74</v>
      </c>
      <c r="B32" s="9" t="s">
        <v>75</v>
      </c>
      <c r="C32" s="6" t="s">
        <v>20</v>
      </c>
      <c r="D32" s="6" t="s">
        <v>21</v>
      </c>
      <c r="E32" s="6" t="s">
        <v>29</v>
      </c>
      <c r="F32" s="6"/>
      <c r="G32" s="6"/>
      <c r="H32" s="6">
        <v>153</v>
      </c>
      <c r="I32" s="6" t="s">
        <v>30</v>
      </c>
      <c r="J32" s="6">
        <v>15</v>
      </c>
      <c r="K32" s="7">
        <v>45052</v>
      </c>
      <c r="L32" s="6" t="s">
        <v>44</v>
      </c>
      <c r="Q32" s="8"/>
    </row>
    <row r="33" spans="1:17" x14ac:dyDescent="0.25">
      <c r="A33" s="4" t="s">
        <v>74</v>
      </c>
      <c r="B33" s="10" t="s">
        <v>76</v>
      </c>
      <c r="C33" s="6" t="s">
        <v>20</v>
      </c>
      <c r="D33" s="6" t="s">
        <v>32</v>
      </c>
      <c r="E33" s="6" t="s">
        <v>29</v>
      </c>
      <c r="F33" s="6"/>
      <c r="G33" s="6"/>
      <c r="H33" s="6">
        <v>153</v>
      </c>
      <c r="I33" s="6" t="s">
        <v>30</v>
      </c>
      <c r="J33" s="6">
        <v>15</v>
      </c>
      <c r="K33" s="7">
        <v>45052</v>
      </c>
      <c r="L33" s="6" t="s">
        <v>44</v>
      </c>
      <c r="Q33" s="8"/>
    </row>
    <row r="34" spans="1:17" x14ac:dyDescent="0.25">
      <c r="A34" s="4" t="s">
        <v>77</v>
      </c>
      <c r="B34" s="10" t="s">
        <v>78</v>
      </c>
      <c r="C34" s="6" t="s">
        <v>24</v>
      </c>
      <c r="D34" s="6" t="s">
        <v>32</v>
      </c>
      <c r="E34" s="6" t="s">
        <v>62</v>
      </c>
      <c r="F34" s="6"/>
      <c r="G34" s="6"/>
      <c r="H34" s="6">
        <v>167</v>
      </c>
      <c r="I34" s="6" t="s">
        <v>30</v>
      </c>
      <c r="J34" s="6">
        <v>24</v>
      </c>
      <c r="K34" s="7">
        <v>45280</v>
      </c>
      <c r="L34" s="6" t="s">
        <v>18</v>
      </c>
      <c r="Q34" s="8"/>
    </row>
    <row r="35" spans="1:17" x14ac:dyDescent="0.25">
      <c r="A35" s="4" t="s">
        <v>77</v>
      </c>
      <c r="B35" s="9" t="s">
        <v>79</v>
      </c>
      <c r="C35" s="6" t="s">
        <v>20</v>
      </c>
      <c r="D35" s="6" t="s">
        <v>21</v>
      </c>
      <c r="E35" s="6" t="s">
        <v>62</v>
      </c>
      <c r="F35" s="6"/>
      <c r="G35" s="6"/>
      <c r="H35" s="6">
        <v>167</v>
      </c>
      <c r="I35" s="6" t="s">
        <v>30</v>
      </c>
      <c r="J35" s="6">
        <v>24</v>
      </c>
      <c r="K35" s="7">
        <v>45280</v>
      </c>
      <c r="L35" s="6" t="s">
        <v>18</v>
      </c>
      <c r="Q35" s="8"/>
    </row>
    <row r="36" spans="1:17" x14ac:dyDescent="0.25">
      <c r="A36" s="4" t="s">
        <v>80</v>
      </c>
      <c r="B36" s="5" t="s">
        <v>81</v>
      </c>
      <c r="C36" s="6" t="s">
        <v>20</v>
      </c>
      <c r="D36" s="6" t="s">
        <v>15</v>
      </c>
      <c r="E36" s="6" t="s">
        <v>62</v>
      </c>
      <c r="F36" s="6"/>
      <c r="G36" s="6"/>
      <c r="H36" s="6">
        <v>163</v>
      </c>
      <c r="I36" s="6" t="s">
        <v>30</v>
      </c>
      <c r="J36" s="6">
        <v>23</v>
      </c>
      <c r="K36" s="7">
        <v>44935</v>
      </c>
      <c r="L36" s="6" t="s">
        <v>44</v>
      </c>
      <c r="Q36" s="8"/>
    </row>
    <row r="37" spans="1:17" x14ac:dyDescent="0.25">
      <c r="A37" s="4" t="s">
        <v>80</v>
      </c>
      <c r="B37" s="10" t="s">
        <v>82</v>
      </c>
      <c r="C37" s="6" t="s">
        <v>20</v>
      </c>
      <c r="D37" s="6" t="s">
        <v>32</v>
      </c>
      <c r="E37" s="6" t="s">
        <v>62</v>
      </c>
      <c r="F37" s="6"/>
      <c r="G37" s="6"/>
      <c r="H37" s="6">
        <v>163</v>
      </c>
      <c r="I37" s="6" t="s">
        <v>30</v>
      </c>
      <c r="J37" s="6">
        <v>23</v>
      </c>
      <c r="K37" s="7">
        <v>44935</v>
      </c>
      <c r="L37" s="6" t="s">
        <v>44</v>
      </c>
      <c r="Q37" s="8"/>
    </row>
    <row r="38" spans="1:17" x14ac:dyDescent="0.25">
      <c r="A38" s="4" t="s">
        <v>83</v>
      </c>
      <c r="B38" s="9" t="s">
        <v>84</v>
      </c>
      <c r="C38" s="6" t="s">
        <v>20</v>
      </c>
      <c r="D38" s="6" t="s">
        <v>21</v>
      </c>
      <c r="E38" s="6" t="s">
        <v>29</v>
      </c>
      <c r="F38" s="6"/>
      <c r="G38" s="6"/>
      <c r="H38" s="6">
        <v>165</v>
      </c>
      <c r="I38" s="6" t="s">
        <v>17</v>
      </c>
      <c r="J38" s="6">
        <v>25</v>
      </c>
      <c r="K38" s="7">
        <v>45116</v>
      </c>
      <c r="L38" s="6" t="s">
        <v>52</v>
      </c>
      <c r="Q38" s="8"/>
    </row>
    <row r="39" spans="1:17" x14ac:dyDescent="0.25">
      <c r="A39" s="4" t="s">
        <v>83</v>
      </c>
      <c r="B39" s="5" t="s">
        <v>85</v>
      </c>
      <c r="C39" s="6" t="s">
        <v>20</v>
      </c>
      <c r="D39" s="6" t="s">
        <v>15</v>
      </c>
      <c r="E39" s="6" t="s">
        <v>29</v>
      </c>
      <c r="F39" s="6"/>
      <c r="G39" s="6"/>
      <c r="H39" s="6">
        <v>165</v>
      </c>
      <c r="I39" s="6" t="s">
        <v>17</v>
      </c>
      <c r="J39" s="6">
        <v>25</v>
      </c>
      <c r="K39" s="7">
        <v>45116</v>
      </c>
      <c r="L39" s="6" t="s">
        <v>52</v>
      </c>
      <c r="Q39" s="8"/>
    </row>
    <row r="40" spans="1:17" x14ac:dyDescent="0.25">
      <c r="A40" s="4" t="s">
        <v>86</v>
      </c>
      <c r="B40" s="5" t="s">
        <v>87</v>
      </c>
      <c r="C40" s="6" t="s">
        <v>14</v>
      </c>
      <c r="D40" s="6" t="s">
        <v>15</v>
      </c>
      <c r="E40" s="6" t="s">
        <v>62</v>
      </c>
      <c r="F40" s="6"/>
      <c r="G40" s="6"/>
      <c r="H40" s="6">
        <v>166</v>
      </c>
      <c r="I40" s="6" t="s">
        <v>17</v>
      </c>
      <c r="J40" s="6">
        <v>16</v>
      </c>
      <c r="K40" s="7">
        <v>45039</v>
      </c>
      <c r="L40" s="6" t="s">
        <v>25</v>
      </c>
      <c r="Q40" s="8"/>
    </row>
    <row r="41" spans="1:17" x14ac:dyDescent="0.25">
      <c r="A41" s="4" t="s">
        <v>86</v>
      </c>
      <c r="B41" s="10" t="s">
        <v>88</v>
      </c>
      <c r="C41" s="6" t="s">
        <v>20</v>
      </c>
      <c r="D41" s="6" t="s">
        <v>32</v>
      </c>
      <c r="E41" s="6" t="s">
        <v>62</v>
      </c>
      <c r="F41" s="6"/>
      <c r="G41" s="6"/>
      <c r="H41" s="6">
        <v>166</v>
      </c>
      <c r="I41" s="6" t="s">
        <v>17</v>
      </c>
      <c r="J41" s="6">
        <v>16</v>
      </c>
      <c r="K41" s="7">
        <v>45039</v>
      </c>
      <c r="L41" s="6" t="s">
        <v>25</v>
      </c>
      <c r="Q41" s="8"/>
    </row>
    <row r="42" spans="1:17" x14ac:dyDescent="0.25">
      <c r="A42" s="4" t="s">
        <v>89</v>
      </c>
      <c r="B42" s="10" t="s">
        <v>90</v>
      </c>
      <c r="C42" s="6" t="s">
        <v>20</v>
      </c>
      <c r="D42" s="6" t="s">
        <v>32</v>
      </c>
      <c r="E42" s="6" t="s">
        <v>29</v>
      </c>
      <c r="F42" s="6">
        <v>2</v>
      </c>
      <c r="G42" s="6"/>
      <c r="H42" s="6">
        <v>151</v>
      </c>
      <c r="I42" s="6" t="s">
        <v>17</v>
      </c>
      <c r="J42" s="6">
        <v>15</v>
      </c>
      <c r="K42" s="7">
        <v>45178</v>
      </c>
      <c r="L42" s="6" t="s">
        <v>44</v>
      </c>
      <c r="Q42" s="8"/>
    </row>
    <row r="43" spans="1:17" x14ac:dyDescent="0.25">
      <c r="A43" s="4" t="s">
        <v>89</v>
      </c>
      <c r="B43" s="5" t="s">
        <v>91</v>
      </c>
      <c r="C43" s="6" t="s">
        <v>14</v>
      </c>
      <c r="D43" s="6" t="s">
        <v>15</v>
      </c>
      <c r="E43" s="6" t="s">
        <v>29</v>
      </c>
      <c r="F43" s="6"/>
      <c r="G43" s="6"/>
      <c r="H43" s="6">
        <v>151</v>
      </c>
      <c r="I43" s="6" t="s">
        <v>17</v>
      </c>
      <c r="J43" s="6">
        <v>15</v>
      </c>
      <c r="K43" s="7">
        <v>45178</v>
      </c>
      <c r="L43" s="6" t="s">
        <v>44</v>
      </c>
      <c r="Q43" s="8"/>
    </row>
    <row r="44" spans="1:17" x14ac:dyDescent="0.25">
      <c r="A44" s="4" t="s">
        <v>92</v>
      </c>
      <c r="B44" s="9" t="s">
        <v>93</v>
      </c>
      <c r="C44" s="6" t="s">
        <v>24</v>
      </c>
      <c r="D44" s="6" t="s">
        <v>21</v>
      </c>
      <c r="E44" s="6" t="s">
        <v>29</v>
      </c>
      <c r="F44" s="6"/>
      <c r="G44" s="6"/>
      <c r="H44" s="6">
        <v>187</v>
      </c>
      <c r="I44" s="6" t="s">
        <v>17</v>
      </c>
      <c r="J44" s="6">
        <v>37</v>
      </c>
      <c r="K44" s="7">
        <v>45287</v>
      </c>
      <c r="L44" s="6" t="s">
        <v>52</v>
      </c>
      <c r="Q44" s="8"/>
    </row>
    <row r="45" spans="1:17" x14ac:dyDescent="0.25">
      <c r="A45" s="4" t="s">
        <v>92</v>
      </c>
      <c r="B45" s="10" t="s">
        <v>94</v>
      </c>
      <c r="C45" s="6" t="s">
        <v>20</v>
      </c>
      <c r="D45" s="6" t="s">
        <v>32</v>
      </c>
      <c r="E45" s="6" t="s">
        <v>29</v>
      </c>
      <c r="F45" s="6"/>
      <c r="G45" s="6"/>
      <c r="H45" s="6">
        <v>187</v>
      </c>
      <c r="I45" s="6" t="s">
        <v>17</v>
      </c>
      <c r="J45" s="6">
        <v>37</v>
      </c>
      <c r="K45" s="7">
        <v>45287</v>
      </c>
      <c r="L45" s="6" t="s">
        <v>52</v>
      </c>
      <c r="Q45" s="8"/>
    </row>
    <row r="46" spans="1:17" x14ac:dyDescent="0.25">
      <c r="A46" s="4" t="s">
        <v>95</v>
      </c>
      <c r="B46" s="10" t="s">
        <v>96</v>
      </c>
      <c r="C46" s="6" t="s">
        <v>20</v>
      </c>
      <c r="D46" s="6" t="s">
        <v>32</v>
      </c>
      <c r="E46" s="6" t="s">
        <v>16</v>
      </c>
      <c r="F46" s="6"/>
      <c r="G46" s="6"/>
      <c r="H46" s="6">
        <v>160</v>
      </c>
      <c r="I46" s="6" t="s">
        <v>30</v>
      </c>
      <c r="J46" s="6"/>
      <c r="K46" s="7">
        <v>45088</v>
      </c>
      <c r="L46" s="6" t="s">
        <v>52</v>
      </c>
      <c r="Q46" s="8"/>
    </row>
    <row r="47" spans="1:17" x14ac:dyDescent="0.25">
      <c r="A47" s="4" t="s">
        <v>95</v>
      </c>
      <c r="B47" s="5" t="s">
        <v>97</v>
      </c>
      <c r="C47" s="6" t="s">
        <v>20</v>
      </c>
      <c r="D47" s="6" t="s">
        <v>15</v>
      </c>
      <c r="E47" s="6" t="s">
        <v>16</v>
      </c>
      <c r="F47" s="6"/>
      <c r="G47" s="6"/>
      <c r="H47" s="6">
        <v>160</v>
      </c>
      <c r="I47" s="6" t="s">
        <v>30</v>
      </c>
      <c r="J47" s="6"/>
      <c r="K47" s="7">
        <v>45088</v>
      </c>
      <c r="L47" s="6" t="s">
        <v>44</v>
      </c>
      <c r="Q47" s="8"/>
    </row>
    <row r="48" spans="1:17" x14ac:dyDescent="0.25">
      <c r="A48" s="4" t="s">
        <v>98</v>
      </c>
      <c r="B48" s="5" t="s">
        <v>99</v>
      </c>
      <c r="C48" s="6" t="s">
        <v>20</v>
      </c>
      <c r="D48" s="6" t="s">
        <v>15</v>
      </c>
      <c r="E48" s="6" t="s">
        <v>62</v>
      </c>
      <c r="F48" s="6"/>
      <c r="G48" s="6"/>
      <c r="H48" s="6">
        <v>162</v>
      </c>
      <c r="I48" s="6" t="s">
        <v>30</v>
      </c>
      <c r="J48" s="6">
        <v>20</v>
      </c>
      <c r="K48" s="7">
        <v>45044</v>
      </c>
      <c r="L48" s="6" t="s">
        <v>44</v>
      </c>
      <c r="Q48" s="8"/>
    </row>
    <row r="49" spans="1:17" x14ac:dyDescent="0.25">
      <c r="A49" s="4" t="s">
        <v>98</v>
      </c>
      <c r="B49" s="10" t="s">
        <v>100</v>
      </c>
      <c r="C49" s="6" t="s">
        <v>20</v>
      </c>
      <c r="D49" s="6" t="s">
        <v>32</v>
      </c>
      <c r="E49" s="6" t="s">
        <v>62</v>
      </c>
      <c r="F49" s="6"/>
      <c r="G49" s="6"/>
      <c r="H49" s="6">
        <v>162</v>
      </c>
      <c r="I49" s="6" t="s">
        <v>30</v>
      </c>
      <c r="J49" s="6">
        <v>20</v>
      </c>
      <c r="K49" s="7">
        <v>45044</v>
      </c>
      <c r="L49" s="6" t="s">
        <v>44</v>
      </c>
      <c r="Q49" s="8"/>
    </row>
    <row r="50" spans="1:17" x14ac:dyDescent="0.25">
      <c r="A50" s="4" t="s">
        <v>101</v>
      </c>
      <c r="B50" s="9" t="s">
        <v>102</v>
      </c>
      <c r="C50" s="6" t="s">
        <v>20</v>
      </c>
      <c r="D50" s="6" t="s">
        <v>21</v>
      </c>
      <c r="E50" s="6" t="s">
        <v>62</v>
      </c>
      <c r="F50" s="6"/>
      <c r="G50" s="6"/>
      <c r="H50" s="6">
        <v>182</v>
      </c>
      <c r="I50" s="6" t="s">
        <v>17</v>
      </c>
      <c r="J50" s="6">
        <v>24</v>
      </c>
      <c r="K50" s="7">
        <v>45057</v>
      </c>
      <c r="L50" s="6" t="s">
        <v>18</v>
      </c>
      <c r="Q50" s="8"/>
    </row>
    <row r="51" spans="1:17" x14ac:dyDescent="0.25">
      <c r="A51" s="4" t="s">
        <v>101</v>
      </c>
      <c r="B51" s="5" t="s">
        <v>103</v>
      </c>
      <c r="C51" s="6" t="s">
        <v>20</v>
      </c>
      <c r="D51" s="6" t="s">
        <v>15</v>
      </c>
      <c r="E51" s="6" t="s">
        <v>62</v>
      </c>
      <c r="F51" s="6"/>
      <c r="G51" s="6"/>
      <c r="H51" s="6">
        <v>182</v>
      </c>
      <c r="I51" s="6" t="s">
        <v>17</v>
      </c>
      <c r="J51" s="6">
        <v>24</v>
      </c>
      <c r="K51" s="7">
        <v>45057</v>
      </c>
      <c r="L51" s="6" t="s">
        <v>52</v>
      </c>
      <c r="Q51" s="8"/>
    </row>
    <row r="52" spans="1:17" x14ac:dyDescent="0.25">
      <c r="A52" s="4" t="s">
        <v>104</v>
      </c>
      <c r="B52" s="5" t="s">
        <v>105</v>
      </c>
      <c r="C52" s="6" t="s">
        <v>20</v>
      </c>
      <c r="D52" s="6" t="s">
        <v>15</v>
      </c>
      <c r="E52" s="6" t="s">
        <v>29</v>
      </c>
      <c r="F52" s="6"/>
      <c r="G52" s="6"/>
      <c r="H52" s="6">
        <v>195</v>
      </c>
      <c r="I52" s="6" t="s">
        <v>17</v>
      </c>
      <c r="J52" s="6">
        <v>41</v>
      </c>
      <c r="K52" s="7">
        <v>45259</v>
      </c>
      <c r="L52" s="6" t="s">
        <v>25</v>
      </c>
      <c r="Q52" s="8"/>
    </row>
    <row r="53" spans="1:17" x14ac:dyDescent="0.25">
      <c r="A53" s="4" t="s">
        <v>104</v>
      </c>
      <c r="B53" s="10" t="s">
        <v>106</v>
      </c>
      <c r="C53" s="6" t="s">
        <v>14</v>
      </c>
      <c r="D53" s="6" t="s">
        <v>32</v>
      </c>
      <c r="E53" s="6" t="s">
        <v>29</v>
      </c>
      <c r="F53" s="6"/>
      <c r="G53" s="6"/>
      <c r="H53" s="6">
        <v>195</v>
      </c>
      <c r="I53" s="6" t="s">
        <v>17</v>
      </c>
      <c r="J53" s="6">
        <v>41</v>
      </c>
      <c r="K53" s="7">
        <v>45259</v>
      </c>
      <c r="L53" s="6" t="s">
        <v>25</v>
      </c>
      <c r="Q53" s="8"/>
    </row>
    <row r="54" spans="1:17" x14ac:dyDescent="0.25">
      <c r="A54" s="4" t="s">
        <v>107</v>
      </c>
      <c r="B54" s="10" t="s">
        <v>108</v>
      </c>
      <c r="C54" s="6" t="s">
        <v>20</v>
      </c>
      <c r="D54" s="6" t="s">
        <v>32</v>
      </c>
      <c r="E54" s="6" t="s">
        <v>29</v>
      </c>
      <c r="F54" s="6"/>
      <c r="G54" s="6"/>
      <c r="H54" s="6">
        <v>170</v>
      </c>
      <c r="I54" s="6" t="s">
        <v>17</v>
      </c>
      <c r="J54" s="6">
        <v>18</v>
      </c>
      <c r="K54" s="7">
        <v>45265</v>
      </c>
      <c r="L54" s="6" t="s">
        <v>52</v>
      </c>
      <c r="Q54" s="8"/>
    </row>
    <row r="55" spans="1:17" x14ac:dyDescent="0.25">
      <c r="A55" s="4" t="s">
        <v>107</v>
      </c>
      <c r="B55" s="9" t="s">
        <v>109</v>
      </c>
      <c r="C55" s="6" t="s">
        <v>20</v>
      </c>
      <c r="D55" s="6" t="s">
        <v>21</v>
      </c>
      <c r="E55" s="6" t="s">
        <v>29</v>
      </c>
      <c r="F55" s="6"/>
      <c r="G55" s="6"/>
      <c r="H55" s="6">
        <v>170</v>
      </c>
      <c r="I55" s="6" t="s">
        <v>17</v>
      </c>
      <c r="J55" s="6">
        <v>18</v>
      </c>
      <c r="K55" s="7">
        <v>45265</v>
      </c>
      <c r="L55" s="6" t="s">
        <v>52</v>
      </c>
      <c r="Q55" s="8"/>
    </row>
    <row r="56" spans="1:17" x14ac:dyDescent="0.25">
      <c r="A56" s="4" t="s">
        <v>110</v>
      </c>
      <c r="B56" s="5" t="s">
        <v>111</v>
      </c>
      <c r="C56" s="6" t="s">
        <v>24</v>
      </c>
      <c r="D56" s="6" t="s">
        <v>15</v>
      </c>
      <c r="E56" s="6" t="s">
        <v>29</v>
      </c>
      <c r="F56" s="6"/>
      <c r="G56" s="6"/>
      <c r="H56" s="6">
        <v>180</v>
      </c>
      <c r="I56" s="6" t="s">
        <v>17</v>
      </c>
      <c r="J56" s="6"/>
      <c r="K56" s="7">
        <v>44996</v>
      </c>
      <c r="L56" s="6" t="s">
        <v>18</v>
      </c>
      <c r="Q56" s="8"/>
    </row>
    <row r="57" spans="1:17" x14ac:dyDescent="0.25">
      <c r="A57" s="4" t="s">
        <v>110</v>
      </c>
      <c r="B57" s="9" t="s">
        <v>112</v>
      </c>
      <c r="C57" s="6" t="s">
        <v>20</v>
      </c>
      <c r="D57" s="6" t="s">
        <v>21</v>
      </c>
      <c r="E57" s="6" t="s">
        <v>29</v>
      </c>
      <c r="F57" s="6"/>
      <c r="G57" s="6"/>
      <c r="H57" s="6">
        <v>180</v>
      </c>
      <c r="I57" s="6" t="s">
        <v>17</v>
      </c>
      <c r="J57" s="6"/>
      <c r="K57" s="7">
        <v>44996</v>
      </c>
      <c r="L57" s="6" t="s">
        <v>18</v>
      </c>
      <c r="Q57" s="8"/>
    </row>
    <row r="58" spans="1:17" x14ac:dyDescent="0.25">
      <c r="A58" s="4" t="s">
        <v>113</v>
      </c>
      <c r="B58" s="5" t="s">
        <v>114</v>
      </c>
      <c r="C58" s="6" t="s">
        <v>20</v>
      </c>
      <c r="D58" s="6" t="s">
        <v>15</v>
      </c>
      <c r="E58" s="6" t="s">
        <v>29</v>
      </c>
      <c r="F58" s="6"/>
      <c r="G58" s="6"/>
      <c r="H58" s="6">
        <v>170</v>
      </c>
      <c r="I58" s="6" t="s">
        <v>30</v>
      </c>
      <c r="J58" s="6">
        <v>21</v>
      </c>
      <c r="K58" s="7">
        <v>45204</v>
      </c>
      <c r="L58" s="6" t="s">
        <v>18</v>
      </c>
      <c r="Q58" s="8"/>
    </row>
    <row r="59" spans="1:17" x14ac:dyDescent="0.25">
      <c r="A59" s="4" t="s">
        <v>113</v>
      </c>
      <c r="B59" s="10" t="s">
        <v>115</v>
      </c>
      <c r="C59" s="6" t="s">
        <v>20</v>
      </c>
      <c r="D59" s="6" t="s">
        <v>32</v>
      </c>
      <c r="E59" s="6" t="s">
        <v>29</v>
      </c>
      <c r="F59" s="6"/>
      <c r="G59" s="6"/>
      <c r="H59" s="6">
        <v>170</v>
      </c>
      <c r="I59" s="6" t="s">
        <v>30</v>
      </c>
      <c r="J59" s="6">
        <v>21</v>
      </c>
      <c r="K59" s="7">
        <v>45204</v>
      </c>
      <c r="L59" s="6" t="s">
        <v>66</v>
      </c>
      <c r="Q59" s="8"/>
    </row>
    <row r="60" spans="1:17" x14ac:dyDescent="0.25">
      <c r="A60" s="4" t="s">
        <v>116</v>
      </c>
      <c r="B60" s="5" t="s">
        <v>117</v>
      </c>
      <c r="C60" s="6" t="s">
        <v>20</v>
      </c>
      <c r="D60" s="6" t="s">
        <v>15</v>
      </c>
      <c r="E60" s="6" t="s">
        <v>62</v>
      </c>
      <c r="F60" s="6"/>
      <c r="G60" s="6"/>
      <c r="H60" s="6">
        <v>178</v>
      </c>
      <c r="I60" s="6" t="s">
        <v>17</v>
      </c>
      <c r="J60" s="6">
        <v>25</v>
      </c>
      <c r="K60" s="7">
        <v>44955</v>
      </c>
      <c r="L60" s="6" t="s">
        <v>66</v>
      </c>
      <c r="Q60" s="8"/>
    </row>
    <row r="61" spans="1:17" x14ac:dyDescent="0.25">
      <c r="A61" s="4" t="s">
        <v>116</v>
      </c>
      <c r="B61" s="9" t="s">
        <v>118</v>
      </c>
      <c r="C61" s="6" t="s">
        <v>20</v>
      </c>
      <c r="D61" s="6" t="s">
        <v>21</v>
      </c>
      <c r="E61" s="6" t="s">
        <v>62</v>
      </c>
      <c r="F61" s="6"/>
      <c r="G61" s="6"/>
      <c r="H61" s="6">
        <v>178</v>
      </c>
      <c r="I61" s="6" t="s">
        <v>17</v>
      </c>
      <c r="J61" s="6">
        <v>25</v>
      </c>
      <c r="K61" s="7">
        <v>44955</v>
      </c>
      <c r="L61" s="6" t="s">
        <v>66</v>
      </c>
      <c r="Q61" s="8"/>
    </row>
    <row r="62" spans="1:17" x14ac:dyDescent="0.25">
      <c r="A62" s="4" t="s">
        <v>119</v>
      </c>
      <c r="B62" s="9" t="s">
        <v>120</v>
      </c>
      <c r="C62" s="6" t="s">
        <v>24</v>
      </c>
      <c r="D62" s="6" t="s">
        <v>21</v>
      </c>
      <c r="E62" s="6" t="s">
        <v>16</v>
      </c>
      <c r="F62" s="6"/>
      <c r="G62" s="6"/>
      <c r="H62" s="6">
        <v>176</v>
      </c>
      <c r="I62" s="6" t="s">
        <v>17</v>
      </c>
      <c r="J62" s="6">
        <v>36</v>
      </c>
      <c r="K62" s="7">
        <v>45209</v>
      </c>
      <c r="L62" s="6" t="s">
        <v>25</v>
      </c>
      <c r="Q62" s="8"/>
    </row>
    <row r="63" spans="1:17" x14ac:dyDescent="0.25">
      <c r="A63" s="4" t="s">
        <v>119</v>
      </c>
      <c r="B63" s="5" t="s">
        <v>121</v>
      </c>
      <c r="C63" s="6" t="s">
        <v>20</v>
      </c>
      <c r="D63" s="6" t="s">
        <v>15</v>
      </c>
      <c r="E63" s="6" t="s">
        <v>16</v>
      </c>
      <c r="F63" s="6"/>
      <c r="G63" s="6"/>
      <c r="H63" s="6">
        <v>176</v>
      </c>
      <c r="I63" s="6" t="s">
        <v>17</v>
      </c>
      <c r="J63" s="6">
        <v>36</v>
      </c>
      <c r="K63" s="7">
        <v>45209</v>
      </c>
      <c r="L63" s="6" t="s">
        <v>25</v>
      </c>
      <c r="Q63" s="8"/>
    </row>
    <row r="64" spans="1:17" x14ac:dyDescent="0.25">
      <c r="A64" s="4" t="s">
        <v>122</v>
      </c>
      <c r="B64" s="10" t="s">
        <v>123</v>
      </c>
      <c r="C64" s="6" t="s">
        <v>124</v>
      </c>
      <c r="D64" s="6" t="s">
        <v>32</v>
      </c>
      <c r="E64" s="6" t="s">
        <v>29</v>
      </c>
      <c r="F64" s="6">
        <v>2</v>
      </c>
      <c r="G64" s="6"/>
      <c r="H64" s="6">
        <v>186</v>
      </c>
      <c r="I64" s="6" t="s">
        <v>30</v>
      </c>
      <c r="J64" s="6"/>
      <c r="K64" s="7">
        <v>45248</v>
      </c>
      <c r="L64" s="6" t="s">
        <v>44</v>
      </c>
      <c r="Q64" s="8"/>
    </row>
    <row r="65" spans="1:17" x14ac:dyDescent="0.25">
      <c r="A65" s="4" t="s">
        <v>122</v>
      </c>
      <c r="B65" s="5" t="s">
        <v>125</v>
      </c>
      <c r="C65" s="6" t="s">
        <v>14</v>
      </c>
      <c r="D65" s="6" t="s">
        <v>15</v>
      </c>
      <c r="E65" s="6" t="s">
        <v>29</v>
      </c>
      <c r="F65" s="6"/>
      <c r="G65" s="6"/>
      <c r="H65" s="6">
        <v>186</v>
      </c>
      <c r="I65" s="6" t="s">
        <v>30</v>
      </c>
      <c r="J65" s="6"/>
      <c r="K65" s="7">
        <v>45248</v>
      </c>
      <c r="L65" s="6" t="s">
        <v>44</v>
      </c>
      <c r="Q65" s="8"/>
    </row>
    <row r="66" spans="1:17" x14ac:dyDescent="0.25">
      <c r="A66" s="4" t="s">
        <v>126</v>
      </c>
      <c r="B66" s="10" t="s">
        <v>127</v>
      </c>
      <c r="C66" s="6" t="s">
        <v>20</v>
      </c>
      <c r="D66" s="6" t="s">
        <v>32</v>
      </c>
      <c r="E66" s="6" t="s">
        <v>29</v>
      </c>
      <c r="F66" s="6"/>
      <c r="G66" s="6"/>
      <c r="H66" s="6">
        <v>178</v>
      </c>
      <c r="I66" s="6" t="s">
        <v>17</v>
      </c>
      <c r="J66" s="6">
        <v>22</v>
      </c>
      <c r="K66" s="7">
        <v>45267</v>
      </c>
      <c r="L66" s="6" t="s">
        <v>44</v>
      </c>
      <c r="Q66" s="8"/>
    </row>
    <row r="67" spans="1:17" x14ac:dyDescent="0.25">
      <c r="A67" s="4" t="s">
        <v>126</v>
      </c>
      <c r="B67" s="9" t="s">
        <v>128</v>
      </c>
      <c r="C67" s="6" t="s">
        <v>14</v>
      </c>
      <c r="D67" s="6" t="s">
        <v>21</v>
      </c>
      <c r="E67" s="6" t="s">
        <v>29</v>
      </c>
      <c r="F67" s="6"/>
      <c r="G67" s="6"/>
      <c r="H67" s="6">
        <v>178</v>
      </c>
      <c r="I67" s="6" t="s">
        <v>17</v>
      </c>
      <c r="J67" s="6">
        <v>22</v>
      </c>
      <c r="K67" s="7">
        <v>45267</v>
      </c>
      <c r="L67" s="6" t="s">
        <v>44</v>
      </c>
      <c r="Q67" s="8"/>
    </row>
    <row r="68" spans="1:17" x14ac:dyDescent="0.25">
      <c r="A68" s="4" t="s">
        <v>129</v>
      </c>
      <c r="B68" s="9" t="s">
        <v>130</v>
      </c>
      <c r="C68" s="6" t="s">
        <v>20</v>
      </c>
      <c r="D68" s="6" t="s">
        <v>21</v>
      </c>
      <c r="E68" s="6" t="s">
        <v>16</v>
      </c>
      <c r="F68" s="6"/>
      <c r="G68" s="6"/>
      <c r="H68" s="6">
        <v>152</v>
      </c>
      <c r="I68" s="6" t="s">
        <v>30</v>
      </c>
      <c r="J68" s="6"/>
      <c r="K68" s="7">
        <v>44966</v>
      </c>
      <c r="L68" s="6" t="s">
        <v>18</v>
      </c>
      <c r="Q68" s="8"/>
    </row>
    <row r="69" spans="1:17" x14ac:dyDescent="0.25">
      <c r="A69" s="4" t="s">
        <v>129</v>
      </c>
      <c r="B69" s="5" t="s">
        <v>131</v>
      </c>
      <c r="C69" s="6" t="s">
        <v>20</v>
      </c>
      <c r="D69" s="6" t="s">
        <v>15</v>
      </c>
      <c r="E69" s="6" t="s">
        <v>16</v>
      </c>
      <c r="F69" s="6"/>
      <c r="G69" s="6"/>
      <c r="H69" s="6">
        <v>152</v>
      </c>
      <c r="I69" s="6" t="s">
        <v>30</v>
      </c>
      <c r="J69" s="6"/>
      <c r="K69" s="7">
        <v>44966</v>
      </c>
      <c r="L69" s="6" t="s">
        <v>18</v>
      </c>
      <c r="Q69" s="8"/>
    </row>
    <row r="70" spans="1:17" x14ac:dyDescent="0.25">
      <c r="A70" s="4" t="s">
        <v>132</v>
      </c>
      <c r="B70" s="5" t="s">
        <v>133</v>
      </c>
      <c r="C70" s="6" t="s">
        <v>20</v>
      </c>
      <c r="D70" s="6" t="s">
        <v>15</v>
      </c>
      <c r="E70" s="6" t="s">
        <v>16</v>
      </c>
      <c r="F70" s="6"/>
      <c r="G70" s="6"/>
      <c r="H70" s="6">
        <v>160</v>
      </c>
      <c r="I70" s="6" t="s">
        <v>30</v>
      </c>
      <c r="J70" s="6">
        <v>23</v>
      </c>
      <c r="K70" s="7">
        <v>45083</v>
      </c>
      <c r="L70" s="6" t="s">
        <v>44</v>
      </c>
      <c r="Q70" s="8"/>
    </row>
    <row r="71" spans="1:17" x14ac:dyDescent="0.25">
      <c r="A71" s="4" t="s">
        <v>132</v>
      </c>
      <c r="B71" s="9" t="s">
        <v>134</v>
      </c>
      <c r="C71" s="6" t="s">
        <v>14</v>
      </c>
      <c r="D71" s="6" t="s">
        <v>21</v>
      </c>
      <c r="E71" s="6" t="s">
        <v>16</v>
      </c>
      <c r="F71" s="6"/>
      <c r="G71" s="6"/>
      <c r="H71" s="6">
        <v>160</v>
      </c>
      <c r="I71" s="6" t="s">
        <v>30</v>
      </c>
      <c r="J71" s="6">
        <v>23</v>
      </c>
      <c r="K71" s="7">
        <v>45083</v>
      </c>
      <c r="L71" s="6" t="s">
        <v>48</v>
      </c>
      <c r="Q71" s="8"/>
    </row>
    <row r="72" spans="1:17" x14ac:dyDescent="0.25">
      <c r="A72" s="4" t="s">
        <v>135</v>
      </c>
      <c r="B72" s="10" t="s">
        <v>136</v>
      </c>
      <c r="C72" s="6" t="s">
        <v>20</v>
      </c>
      <c r="D72" s="6" t="s">
        <v>32</v>
      </c>
      <c r="E72" s="6" t="s">
        <v>62</v>
      </c>
      <c r="F72" s="6"/>
      <c r="G72" s="6"/>
      <c r="H72" s="6">
        <v>166</v>
      </c>
      <c r="I72" s="6" t="s">
        <v>30</v>
      </c>
      <c r="J72" s="6">
        <v>16</v>
      </c>
      <c r="K72" s="7">
        <v>45097</v>
      </c>
      <c r="L72" s="6" t="s">
        <v>48</v>
      </c>
      <c r="Q72" s="8"/>
    </row>
    <row r="73" spans="1:17" x14ac:dyDescent="0.25">
      <c r="A73" s="4" t="s">
        <v>135</v>
      </c>
      <c r="B73" s="5" t="s">
        <v>137</v>
      </c>
      <c r="C73" s="6" t="s">
        <v>20</v>
      </c>
      <c r="D73" s="6" t="s">
        <v>15</v>
      </c>
      <c r="E73" s="6" t="s">
        <v>62</v>
      </c>
      <c r="F73" s="6"/>
      <c r="G73" s="6"/>
      <c r="H73" s="6">
        <v>166</v>
      </c>
      <c r="I73" s="6" t="s">
        <v>30</v>
      </c>
      <c r="J73" s="6">
        <v>16</v>
      </c>
      <c r="K73" s="7">
        <v>45097</v>
      </c>
      <c r="L73" s="6" t="s">
        <v>48</v>
      </c>
      <c r="Q73" s="8"/>
    </row>
    <row r="74" spans="1:17" x14ac:dyDescent="0.25">
      <c r="A74" s="4" t="s">
        <v>138</v>
      </c>
      <c r="B74" s="9" t="s">
        <v>139</v>
      </c>
      <c r="C74" s="6" t="s">
        <v>20</v>
      </c>
      <c r="D74" s="6" t="s">
        <v>21</v>
      </c>
      <c r="E74" s="6" t="s">
        <v>29</v>
      </c>
      <c r="F74" s="6"/>
      <c r="G74" s="6"/>
      <c r="H74" s="6">
        <v>174</v>
      </c>
      <c r="I74" s="6" t="s">
        <v>17</v>
      </c>
      <c r="J74" s="6">
        <v>18</v>
      </c>
      <c r="K74" s="7">
        <v>45241</v>
      </c>
      <c r="L74" s="6" t="s">
        <v>44</v>
      </c>
      <c r="Q74" s="8"/>
    </row>
    <row r="75" spans="1:17" x14ac:dyDescent="0.25">
      <c r="A75" s="4" t="s">
        <v>138</v>
      </c>
      <c r="B75" s="5" t="s">
        <v>140</v>
      </c>
      <c r="C75" s="6" t="s">
        <v>20</v>
      </c>
      <c r="D75" s="6" t="s">
        <v>15</v>
      </c>
      <c r="E75" s="6" t="s">
        <v>29</v>
      </c>
      <c r="F75" s="6"/>
      <c r="G75" s="6"/>
      <c r="H75" s="6">
        <v>174</v>
      </c>
      <c r="I75" s="6" t="s">
        <v>17</v>
      </c>
      <c r="J75" s="6">
        <v>18</v>
      </c>
      <c r="K75" s="7">
        <v>45241</v>
      </c>
      <c r="L75" s="6" t="s">
        <v>44</v>
      </c>
      <c r="Q75" s="8"/>
    </row>
    <row r="76" spans="1:17" x14ac:dyDescent="0.25">
      <c r="A76" s="4" t="s">
        <v>141</v>
      </c>
      <c r="B76" s="10" t="s">
        <v>142</v>
      </c>
      <c r="C76" s="6" t="s">
        <v>20</v>
      </c>
      <c r="D76" s="6" t="s">
        <v>32</v>
      </c>
      <c r="E76" s="6" t="s">
        <v>29</v>
      </c>
      <c r="F76" s="6">
        <v>2</v>
      </c>
      <c r="G76" s="6"/>
      <c r="H76" s="6">
        <v>144</v>
      </c>
      <c r="I76" s="6" t="s">
        <v>30</v>
      </c>
      <c r="J76" s="6">
        <v>15</v>
      </c>
      <c r="K76" s="7">
        <v>45064</v>
      </c>
      <c r="L76" s="6" t="s">
        <v>25</v>
      </c>
      <c r="Q76" s="8"/>
    </row>
    <row r="77" spans="1:17" x14ac:dyDescent="0.25">
      <c r="A77" s="4" t="s">
        <v>141</v>
      </c>
      <c r="B77" s="5" t="s">
        <v>143</v>
      </c>
      <c r="C77" s="6" t="s">
        <v>20</v>
      </c>
      <c r="D77" s="6" t="s">
        <v>15</v>
      </c>
      <c r="E77" s="6" t="s">
        <v>29</v>
      </c>
      <c r="F77" s="6"/>
      <c r="G77" s="6"/>
      <c r="H77" s="6">
        <v>144</v>
      </c>
      <c r="I77" s="6" t="s">
        <v>30</v>
      </c>
      <c r="J77" s="6">
        <v>15</v>
      </c>
      <c r="K77" s="7">
        <v>45064</v>
      </c>
      <c r="L77" s="6" t="s">
        <v>25</v>
      </c>
      <c r="Q77" s="8"/>
    </row>
    <row r="78" spans="1:17" x14ac:dyDescent="0.25">
      <c r="A78" s="4" t="s">
        <v>144</v>
      </c>
      <c r="B78" s="5" t="s">
        <v>145</v>
      </c>
      <c r="C78" s="6" t="s">
        <v>20</v>
      </c>
      <c r="D78" s="6" t="s">
        <v>15</v>
      </c>
      <c r="E78" s="6" t="s">
        <v>62</v>
      </c>
      <c r="F78" s="6"/>
      <c r="G78" s="6" t="s">
        <v>146</v>
      </c>
      <c r="H78" s="6">
        <v>163</v>
      </c>
      <c r="I78" s="6" t="s">
        <v>17</v>
      </c>
      <c r="J78" s="6">
        <v>17</v>
      </c>
      <c r="K78" s="7">
        <v>44991</v>
      </c>
      <c r="L78" s="6" t="s">
        <v>48</v>
      </c>
      <c r="Q78" s="8"/>
    </row>
    <row r="79" spans="1:17" x14ac:dyDescent="0.25">
      <c r="A79" s="4" t="s">
        <v>144</v>
      </c>
      <c r="B79" s="9" t="s">
        <v>147</v>
      </c>
      <c r="C79" s="6" t="s">
        <v>20</v>
      </c>
      <c r="D79" s="6" t="s">
        <v>21</v>
      </c>
      <c r="E79" s="6" t="s">
        <v>62</v>
      </c>
      <c r="F79" s="6"/>
      <c r="G79" s="6" t="s">
        <v>146</v>
      </c>
      <c r="H79" s="6">
        <v>163</v>
      </c>
      <c r="I79" s="6" t="s">
        <v>17</v>
      </c>
      <c r="J79" s="6">
        <v>17</v>
      </c>
      <c r="K79" s="7">
        <v>44991</v>
      </c>
      <c r="L79" s="6" t="s">
        <v>48</v>
      </c>
      <c r="Q79" s="8"/>
    </row>
    <row r="80" spans="1:17" x14ac:dyDescent="0.25">
      <c r="A80" s="4" t="s">
        <v>148</v>
      </c>
      <c r="B80" s="9" t="s">
        <v>149</v>
      </c>
      <c r="C80" s="6" t="s">
        <v>20</v>
      </c>
      <c r="D80" s="6" t="s">
        <v>21</v>
      </c>
      <c r="E80" s="6" t="s">
        <v>62</v>
      </c>
      <c r="F80" s="6"/>
      <c r="G80" s="6"/>
      <c r="H80" s="6">
        <v>190</v>
      </c>
      <c r="I80" s="6" t="s">
        <v>17</v>
      </c>
      <c r="J80" s="6">
        <v>18</v>
      </c>
      <c r="K80" s="7">
        <v>45070</v>
      </c>
      <c r="L80" s="6" t="s">
        <v>18</v>
      </c>
      <c r="Q80" s="8"/>
    </row>
    <row r="81" spans="1:17" x14ac:dyDescent="0.25">
      <c r="A81" s="4" t="s">
        <v>148</v>
      </c>
      <c r="B81" s="5" t="s">
        <v>150</v>
      </c>
      <c r="C81" s="6" t="s">
        <v>20</v>
      </c>
      <c r="D81" s="6" t="s">
        <v>15</v>
      </c>
      <c r="E81" s="6" t="s">
        <v>62</v>
      </c>
      <c r="F81" s="6"/>
      <c r="G81" s="6"/>
      <c r="H81" s="6">
        <v>190</v>
      </c>
      <c r="I81" s="6" t="s">
        <v>17</v>
      </c>
      <c r="J81" s="6">
        <v>18</v>
      </c>
      <c r="K81" s="7">
        <v>45070</v>
      </c>
      <c r="L81" s="6" t="s">
        <v>18</v>
      </c>
      <c r="Q81" s="8"/>
    </row>
    <row r="82" spans="1:17" x14ac:dyDescent="0.25">
      <c r="A82" s="4" t="s">
        <v>151</v>
      </c>
      <c r="B82" s="10" t="s">
        <v>152</v>
      </c>
      <c r="C82" s="6" t="s">
        <v>20</v>
      </c>
      <c r="D82" s="6" t="s">
        <v>32</v>
      </c>
      <c r="E82" s="6" t="s">
        <v>62</v>
      </c>
      <c r="F82" s="6"/>
      <c r="G82" s="6"/>
      <c r="H82" s="6">
        <v>183</v>
      </c>
      <c r="I82" s="6" t="s">
        <v>17</v>
      </c>
      <c r="J82" s="6">
        <v>24</v>
      </c>
      <c r="K82" s="7">
        <v>45118</v>
      </c>
      <c r="L82" s="6" t="s">
        <v>48</v>
      </c>
      <c r="Q82" s="8"/>
    </row>
    <row r="83" spans="1:17" x14ac:dyDescent="0.25">
      <c r="A83" s="4" t="s">
        <v>151</v>
      </c>
      <c r="B83" s="5" t="s">
        <v>153</v>
      </c>
      <c r="C83" s="6" t="s">
        <v>20</v>
      </c>
      <c r="D83" s="6" t="s">
        <v>15</v>
      </c>
      <c r="E83" s="6" t="s">
        <v>62</v>
      </c>
      <c r="F83" s="6"/>
      <c r="G83" s="6"/>
      <c r="H83" s="6">
        <v>183</v>
      </c>
      <c r="I83" s="6" t="s">
        <v>17</v>
      </c>
      <c r="J83" s="6">
        <v>24</v>
      </c>
      <c r="K83" s="7">
        <v>45118</v>
      </c>
      <c r="L83" s="6" t="s">
        <v>48</v>
      </c>
      <c r="Q83" s="8"/>
    </row>
    <row r="84" spans="1:17" x14ac:dyDescent="0.25">
      <c r="A84" s="4" t="s">
        <v>154</v>
      </c>
      <c r="B84" s="5" t="s">
        <v>155</v>
      </c>
      <c r="C84" s="6" t="s">
        <v>14</v>
      </c>
      <c r="D84" s="6" t="s">
        <v>15</v>
      </c>
      <c r="E84" s="6" t="s">
        <v>62</v>
      </c>
      <c r="F84" s="6"/>
      <c r="G84" s="6"/>
      <c r="H84" s="6">
        <v>153</v>
      </c>
      <c r="I84" s="6" t="s">
        <v>30</v>
      </c>
      <c r="J84" s="6">
        <v>17</v>
      </c>
      <c r="K84" s="7">
        <v>45018</v>
      </c>
      <c r="L84" s="6" t="s">
        <v>52</v>
      </c>
      <c r="Q84" s="8"/>
    </row>
    <row r="85" spans="1:17" x14ac:dyDescent="0.25">
      <c r="A85" s="4" t="s">
        <v>154</v>
      </c>
      <c r="B85" s="10" t="s">
        <v>156</v>
      </c>
      <c r="C85" s="6" t="s">
        <v>14</v>
      </c>
      <c r="D85" s="6" t="s">
        <v>32</v>
      </c>
      <c r="E85" s="6" t="s">
        <v>62</v>
      </c>
      <c r="F85" s="6"/>
      <c r="G85" s="6"/>
      <c r="H85" s="6">
        <v>153</v>
      </c>
      <c r="I85" s="6" t="s">
        <v>30</v>
      </c>
      <c r="J85" s="6">
        <v>17</v>
      </c>
      <c r="K85" s="7">
        <v>45018</v>
      </c>
      <c r="L85" s="6" t="s">
        <v>52</v>
      </c>
      <c r="Q85" s="8"/>
    </row>
    <row r="86" spans="1:17" x14ac:dyDescent="0.25">
      <c r="A86" s="4" t="s">
        <v>157</v>
      </c>
      <c r="B86" s="5" t="s">
        <v>158</v>
      </c>
      <c r="C86" s="6" t="s">
        <v>24</v>
      </c>
      <c r="D86" s="6" t="s">
        <v>15</v>
      </c>
      <c r="E86" s="6" t="s">
        <v>29</v>
      </c>
      <c r="F86" s="6"/>
      <c r="G86" s="6"/>
      <c r="H86" s="6">
        <v>131</v>
      </c>
      <c r="I86" s="6" t="s">
        <v>17</v>
      </c>
      <c r="J86" s="6">
        <v>19</v>
      </c>
      <c r="K86" s="7">
        <v>45143</v>
      </c>
      <c r="L86" s="6" t="s">
        <v>25</v>
      </c>
      <c r="Q86" s="8"/>
    </row>
    <row r="87" spans="1:17" x14ac:dyDescent="0.25">
      <c r="A87" s="4" t="s">
        <v>157</v>
      </c>
      <c r="B87" s="9" t="s">
        <v>159</v>
      </c>
      <c r="C87" s="6" t="s">
        <v>20</v>
      </c>
      <c r="D87" s="6" t="s">
        <v>21</v>
      </c>
      <c r="E87" s="6" t="s">
        <v>29</v>
      </c>
      <c r="F87" s="6"/>
      <c r="G87" s="6"/>
      <c r="H87" s="6">
        <v>131</v>
      </c>
      <c r="I87" s="6" t="s">
        <v>17</v>
      </c>
      <c r="J87" s="6">
        <v>19</v>
      </c>
      <c r="K87" s="7">
        <v>45143</v>
      </c>
      <c r="L87" s="6" t="s">
        <v>25</v>
      </c>
      <c r="Q87" s="8"/>
    </row>
    <row r="88" spans="1:17" x14ac:dyDescent="0.25">
      <c r="A88" s="4" t="s">
        <v>160</v>
      </c>
      <c r="B88" s="5" t="s">
        <v>161</v>
      </c>
      <c r="C88" s="6" t="s">
        <v>20</v>
      </c>
      <c r="D88" s="6" t="s">
        <v>15</v>
      </c>
      <c r="E88" s="6" t="s">
        <v>29</v>
      </c>
      <c r="F88" s="6"/>
      <c r="G88" s="6"/>
      <c r="H88" s="6">
        <v>158</v>
      </c>
      <c r="I88" s="6" t="s">
        <v>30</v>
      </c>
      <c r="J88" s="6">
        <v>16</v>
      </c>
      <c r="K88" s="7">
        <v>45079</v>
      </c>
      <c r="L88" s="6" t="s">
        <v>18</v>
      </c>
      <c r="Q88" s="8"/>
    </row>
    <row r="89" spans="1:17" x14ac:dyDescent="0.25">
      <c r="A89" s="4" t="s">
        <v>160</v>
      </c>
      <c r="B89" s="9" t="s">
        <v>162</v>
      </c>
      <c r="C89" s="6" t="s">
        <v>14</v>
      </c>
      <c r="D89" s="6" t="s">
        <v>21</v>
      </c>
      <c r="E89" s="6" t="s">
        <v>29</v>
      </c>
      <c r="F89" s="6"/>
      <c r="G89" s="6"/>
      <c r="H89" s="6">
        <v>158</v>
      </c>
      <c r="I89" s="6" t="s">
        <v>30</v>
      </c>
      <c r="J89" s="6">
        <v>16</v>
      </c>
      <c r="K89" s="7">
        <v>45079</v>
      </c>
      <c r="L89" s="6" t="s">
        <v>18</v>
      </c>
      <c r="Q89" s="8"/>
    </row>
    <row r="90" spans="1:17" x14ac:dyDescent="0.25">
      <c r="A90" s="4" t="s">
        <v>163</v>
      </c>
      <c r="B90" s="10" t="s">
        <v>164</v>
      </c>
      <c r="C90" s="6" t="s">
        <v>20</v>
      </c>
      <c r="D90" s="6" t="s">
        <v>32</v>
      </c>
      <c r="E90" s="6" t="s">
        <v>16</v>
      </c>
      <c r="F90" s="6"/>
      <c r="G90" s="6"/>
      <c r="H90" s="6">
        <v>154</v>
      </c>
      <c r="I90" s="6" t="s">
        <v>30</v>
      </c>
      <c r="J90" s="6">
        <v>14</v>
      </c>
      <c r="K90" s="7">
        <v>45127</v>
      </c>
      <c r="L90" s="6" t="s">
        <v>52</v>
      </c>
      <c r="Q90" s="8"/>
    </row>
    <row r="91" spans="1:17" x14ac:dyDescent="0.25">
      <c r="A91" s="4" t="s">
        <v>163</v>
      </c>
      <c r="B91" s="5" t="s">
        <v>165</v>
      </c>
      <c r="C91" s="6" t="s">
        <v>20</v>
      </c>
      <c r="D91" s="6" t="s">
        <v>15</v>
      </c>
      <c r="E91" s="6" t="s">
        <v>16</v>
      </c>
      <c r="F91" s="6"/>
      <c r="G91" s="6"/>
      <c r="H91" s="6">
        <v>154</v>
      </c>
      <c r="I91" s="6" t="s">
        <v>30</v>
      </c>
      <c r="J91" s="6">
        <v>14</v>
      </c>
      <c r="K91" s="7">
        <v>45127</v>
      </c>
      <c r="L91" s="6" t="s">
        <v>52</v>
      </c>
      <c r="Q91" s="8"/>
    </row>
    <row r="92" spans="1:17" x14ac:dyDescent="0.25">
      <c r="A92" s="4" t="s">
        <v>166</v>
      </c>
      <c r="B92" s="9" t="s">
        <v>167</v>
      </c>
      <c r="C92" s="6" t="s">
        <v>20</v>
      </c>
      <c r="D92" s="6" t="s">
        <v>21</v>
      </c>
      <c r="E92" s="6" t="s">
        <v>62</v>
      </c>
      <c r="F92" s="6"/>
      <c r="G92" s="6"/>
      <c r="H92" s="6">
        <v>169</v>
      </c>
      <c r="I92" s="6" t="s">
        <v>30</v>
      </c>
      <c r="J92" s="6">
        <v>24</v>
      </c>
      <c r="K92" s="7">
        <v>45188</v>
      </c>
      <c r="L92" s="6" t="s">
        <v>52</v>
      </c>
      <c r="Q92" s="8"/>
    </row>
    <row r="93" spans="1:17" x14ac:dyDescent="0.25">
      <c r="A93" s="4" t="s">
        <v>166</v>
      </c>
      <c r="B93" s="10" t="s">
        <v>168</v>
      </c>
      <c r="C93" s="6" t="s">
        <v>20</v>
      </c>
      <c r="D93" s="6" t="s">
        <v>32</v>
      </c>
      <c r="E93" s="6" t="s">
        <v>62</v>
      </c>
      <c r="F93" s="6"/>
      <c r="G93" s="6"/>
      <c r="H93" s="6">
        <v>169</v>
      </c>
      <c r="I93" s="6" t="s">
        <v>30</v>
      </c>
      <c r="J93" s="6">
        <v>24</v>
      </c>
      <c r="K93" s="7">
        <v>45188</v>
      </c>
      <c r="L93" s="6" t="s">
        <v>52</v>
      </c>
      <c r="Q93" s="8"/>
    </row>
    <row r="94" spans="1:17" x14ac:dyDescent="0.25">
      <c r="A94" s="4" t="s">
        <v>169</v>
      </c>
      <c r="B94" s="9" t="s">
        <v>170</v>
      </c>
      <c r="C94" s="6" t="s">
        <v>24</v>
      </c>
      <c r="D94" s="6" t="s">
        <v>21</v>
      </c>
      <c r="E94" s="6" t="s">
        <v>29</v>
      </c>
      <c r="F94" s="6"/>
      <c r="G94" s="6"/>
      <c r="H94" s="6">
        <v>174</v>
      </c>
      <c r="I94" s="6" t="s">
        <v>30</v>
      </c>
      <c r="J94" s="6">
        <v>28</v>
      </c>
      <c r="K94" s="7">
        <v>45135</v>
      </c>
      <c r="L94" s="6" t="s">
        <v>25</v>
      </c>
      <c r="Q94" s="8"/>
    </row>
    <row r="95" spans="1:17" x14ac:dyDescent="0.25">
      <c r="A95" s="4" t="s">
        <v>169</v>
      </c>
      <c r="B95" s="10" t="s">
        <v>171</v>
      </c>
      <c r="C95" s="6" t="s">
        <v>20</v>
      </c>
      <c r="D95" s="6" t="s">
        <v>32</v>
      </c>
      <c r="E95" s="6" t="s">
        <v>29</v>
      </c>
      <c r="F95" s="6"/>
      <c r="G95" s="6"/>
      <c r="H95" s="6">
        <v>174</v>
      </c>
      <c r="I95" s="6" t="s">
        <v>30</v>
      </c>
      <c r="J95" s="6">
        <v>28</v>
      </c>
      <c r="K95" s="7">
        <v>45135</v>
      </c>
      <c r="L95" s="6" t="s">
        <v>25</v>
      </c>
      <c r="Q95" s="8"/>
    </row>
    <row r="96" spans="1:17" x14ac:dyDescent="0.25">
      <c r="A96" s="4" t="s">
        <v>172</v>
      </c>
      <c r="B96" s="5" t="s">
        <v>173</v>
      </c>
      <c r="C96" s="6" t="s">
        <v>24</v>
      </c>
      <c r="D96" s="6" t="s">
        <v>15</v>
      </c>
      <c r="E96" s="6" t="s">
        <v>62</v>
      </c>
      <c r="F96" s="6"/>
      <c r="G96" s="6"/>
      <c r="H96" s="6">
        <v>145</v>
      </c>
      <c r="I96" s="6" t="s">
        <v>30</v>
      </c>
      <c r="J96" s="6">
        <v>15</v>
      </c>
      <c r="K96" s="7">
        <v>45013</v>
      </c>
      <c r="L96" s="6" t="s">
        <v>18</v>
      </c>
      <c r="Q96" s="8"/>
    </row>
    <row r="97" spans="1:17" x14ac:dyDescent="0.25">
      <c r="A97" s="4" t="s">
        <v>172</v>
      </c>
      <c r="B97" s="9" t="s">
        <v>174</v>
      </c>
      <c r="C97" s="6" t="s">
        <v>20</v>
      </c>
      <c r="D97" s="6" t="s">
        <v>21</v>
      </c>
      <c r="E97" s="6" t="s">
        <v>62</v>
      </c>
      <c r="F97" s="6"/>
      <c r="G97" s="6"/>
      <c r="H97" s="6">
        <v>145</v>
      </c>
      <c r="I97" s="6" t="s">
        <v>30</v>
      </c>
      <c r="J97" s="6">
        <v>15</v>
      </c>
      <c r="K97" s="7">
        <v>45013</v>
      </c>
      <c r="L97" s="6" t="s">
        <v>18</v>
      </c>
      <c r="Q97" s="8"/>
    </row>
    <row r="98" spans="1:17" x14ac:dyDescent="0.25">
      <c r="A98" s="4" t="s">
        <v>175</v>
      </c>
      <c r="B98" s="10" t="s">
        <v>176</v>
      </c>
      <c r="C98" s="6" t="s">
        <v>20</v>
      </c>
      <c r="D98" s="6" t="s">
        <v>32</v>
      </c>
      <c r="E98" s="6" t="s">
        <v>16</v>
      </c>
      <c r="F98" s="6"/>
      <c r="G98" s="6"/>
      <c r="H98" s="6">
        <v>137</v>
      </c>
      <c r="I98" s="6" t="s">
        <v>30</v>
      </c>
      <c r="J98" s="6"/>
      <c r="K98" s="7">
        <v>45235</v>
      </c>
      <c r="L98" s="6" t="s">
        <v>52</v>
      </c>
      <c r="Q98" s="8"/>
    </row>
    <row r="99" spans="1:17" x14ac:dyDescent="0.25">
      <c r="A99" s="4" t="s">
        <v>175</v>
      </c>
      <c r="B99" s="5" t="s">
        <v>177</v>
      </c>
      <c r="C99" s="6" t="s">
        <v>20</v>
      </c>
      <c r="D99" s="6" t="s">
        <v>15</v>
      </c>
      <c r="E99" s="6" t="s">
        <v>16</v>
      </c>
      <c r="F99" s="6"/>
      <c r="G99" s="6"/>
      <c r="H99" s="6">
        <v>137</v>
      </c>
      <c r="I99" s="6" t="s">
        <v>30</v>
      </c>
      <c r="J99" s="6"/>
      <c r="K99" s="7">
        <v>45235</v>
      </c>
      <c r="L99" s="6" t="s">
        <v>52</v>
      </c>
      <c r="Q99" s="8"/>
    </row>
    <row r="100" spans="1:17" x14ac:dyDescent="0.25">
      <c r="A100" s="4" t="s">
        <v>178</v>
      </c>
      <c r="B100" s="9" t="s">
        <v>179</v>
      </c>
      <c r="C100" s="6" t="s">
        <v>20</v>
      </c>
      <c r="D100" s="6" t="s">
        <v>21</v>
      </c>
      <c r="E100" s="6" t="s">
        <v>29</v>
      </c>
      <c r="F100" s="6"/>
      <c r="G100" s="6"/>
      <c r="H100" s="6">
        <v>174</v>
      </c>
      <c r="I100" s="6" t="s">
        <v>30</v>
      </c>
      <c r="J100" s="6">
        <v>29</v>
      </c>
      <c r="K100" s="7">
        <v>45150</v>
      </c>
      <c r="L100" s="6" t="s">
        <v>66</v>
      </c>
      <c r="Q100" s="8"/>
    </row>
    <row r="101" spans="1:17" x14ac:dyDescent="0.25">
      <c r="A101" s="4" t="s">
        <v>178</v>
      </c>
      <c r="B101" s="5" t="s">
        <v>180</v>
      </c>
      <c r="C101" s="6" t="s">
        <v>20</v>
      </c>
      <c r="D101" s="6" t="s">
        <v>15</v>
      </c>
      <c r="E101" s="6" t="s">
        <v>29</v>
      </c>
      <c r="F101" s="6"/>
      <c r="G101" s="6"/>
      <c r="H101" s="6">
        <v>174</v>
      </c>
      <c r="I101" s="6" t="s">
        <v>30</v>
      </c>
      <c r="J101" s="6">
        <v>29</v>
      </c>
      <c r="K101" s="7">
        <v>45150</v>
      </c>
      <c r="L101" s="6" t="s">
        <v>66</v>
      </c>
      <c r="Q101" s="8"/>
    </row>
    <row r="102" spans="1:17" x14ac:dyDescent="0.25">
      <c r="A102" s="4" t="s">
        <v>181</v>
      </c>
      <c r="B102" s="10" t="s">
        <v>182</v>
      </c>
      <c r="C102" s="6" t="s">
        <v>20</v>
      </c>
      <c r="D102" s="6" t="s">
        <v>32</v>
      </c>
      <c r="E102" s="6" t="s">
        <v>29</v>
      </c>
      <c r="F102" s="6"/>
      <c r="G102" s="6"/>
      <c r="H102" s="6">
        <v>172</v>
      </c>
      <c r="I102" s="6" t="s">
        <v>17</v>
      </c>
      <c r="J102" s="6"/>
      <c r="K102" s="7">
        <v>44931</v>
      </c>
      <c r="L102" s="6" t="s">
        <v>48</v>
      </c>
      <c r="Q102" s="8"/>
    </row>
    <row r="103" spans="1:17" x14ac:dyDescent="0.25">
      <c r="A103" s="4" t="s">
        <v>181</v>
      </c>
      <c r="B103" s="9" t="s">
        <v>183</v>
      </c>
      <c r="C103" s="6" t="s">
        <v>14</v>
      </c>
      <c r="D103" s="6" t="s">
        <v>21</v>
      </c>
      <c r="E103" s="6" t="s">
        <v>29</v>
      </c>
      <c r="F103" s="6"/>
      <c r="G103" s="6"/>
      <c r="H103" s="6">
        <v>172</v>
      </c>
      <c r="I103" s="6" t="s">
        <v>17</v>
      </c>
      <c r="J103" s="6"/>
      <c r="K103" s="7">
        <v>44931</v>
      </c>
      <c r="L103" s="6" t="s">
        <v>48</v>
      </c>
      <c r="Q103" s="8"/>
    </row>
    <row r="104" spans="1:17" x14ac:dyDescent="0.25">
      <c r="A104" s="4" t="s">
        <v>184</v>
      </c>
      <c r="B104" s="10" t="s">
        <v>185</v>
      </c>
      <c r="C104" s="6" t="s">
        <v>24</v>
      </c>
      <c r="D104" s="6" t="s">
        <v>32</v>
      </c>
      <c r="E104" s="6" t="s">
        <v>29</v>
      </c>
      <c r="F104" s="6"/>
      <c r="G104" s="6"/>
      <c r="H104" s="6">
        <v>168</v>
      </c>
      <c r="I104" s="6" t="s">
        <v>17</v>
      </c>
      <c r="J104" s="6">
        <v>16</v>
      </c>
      <c r="K104" s="7">
        <v>44977</v>
      </c>
      <c r="L104" s="6" t="s">
        <v>66</v>
      </c>
      <c r="Q104" s="8"/>
    </row>
    <row r="105" spans="1:17" x14ac:dyDescent="0.25">
      <c r="A105" s="4" t="s">
        <v>184</v>
      </c>
      <c r="B105" s="9" t="s">
        <v>186</v>
      </c>
      <c r="C105" s="6" t="s">
        <v>20</v>
      </c>
      <c r="D105" s="6" t="s">
        <v>21</v>
      </c>
      <c r="E105" s="6" t="s">
        <v>29</v>
      </c>
      <c r="F105" s="6"/>
      <c r="G105" s="6"/>
      <c r="H105" s="6">
        <v>168</v>
      </c>
      <c r="I105" s="6" t="s">
        <v>17</v>
      </c>
      <c r="J105" s="6">
        <v>16</v>
      </c>
      <c r="K105" s="7">
        <v>44977</v>
      </c>
      <c r="L105" s="6" t="s">
        <v>66</v>
      </c>
      <c r="Q105" s="8"/>
    </row>
    <row r="106" spans="1:17" x14ac:dyDescent="0.25">
      <c r="A106" s="4" t="s">
        <v>187</v>
      </c>
      <c r="B106" s="5" t="s">
        <v>188</v>
      </c>
      <c r="C106" s="6" t="s">
        <v>24</v>
      </c>
      <c r="D106" s="6" t="s">
        <v>15</v>
      </c>
      <c r="E106" s="6" t="s">
        <v>16</v>
      </c>
      <c r="F106" s="6"/>
      <c r="G106" s="6"/>
      <c r="H106" s="6">
        <v>184</v>
      </c>
      <c r="I106" s="6" t="s">
        <v>17</v>
      </c>
      <c r="J106" s="6">
        <v>27</v>
      </c>
      <c r="K106" s="7">
        <v>45093</v>
      </c>
      <c r="L106" s="6" t="s">
        <v>44</v>
      </c>
      <c r="Q106" s="8"/>
    </row>
    <row r="107" spans="1:17" x14ac:dyDescent="0.25">
      <c r="A107" s="4" t="s">
        <v>187</v>
      </c>
      <c r="B107" s="9" t="s">
        <v>189</v>
      </c>
      <c r="C107" s="6" t="s">
        <v>20</v>
      </c>
      <c r="D107" s="6" t="s">
        <v>21</v>
      </c>
      <c r="E107" s="6" t="s">
        <v>16</v>
      </c>
      <c r="F107" s="6"/>
      <c r="G107" s="6"/>
      <c r="H107" s="6">
        <v>184</v>
      </c>
      <c r="I107" s="6" t="s">
        <v>17</v>
      </c>
      <c r="J107" s="6">
        <v>27</v>
      </c>
      <c r="K107" s="7">
        <v>45093</v>
      </c>
      <c r="L107" s="6" t="s">
        <v>44</v>
      </c>
      <c r="Q107" s="8"/>
    </row>
    <row r="108" spans="1:17" x14ac:dyDescent="0.25">
      <c r="A108" s="4" t="s">
        <v>190</v>
      </c>
      <c r="B108" s="9" t="s">
        <v>191</v>
      </c>
      <c r="C108" s="6" t="s">
        <v>20</v>
      </c>
      <c r="D108" s="6" t="s">
        <v>21</v>
      </c>
      <c r="E108" s="6" t="s">
        <v>16</v>
      </c>
      <c r="F108" s="6">
        <v>2</v>
      </c>
      <c r="G108" s="6"/>
      <c r="H108" s="6">
        <v>164</v>
      </c>
      <c r="I108" s="6" t="s">
        <v>30</v>
      </c>
      <c r="J108" s="6">
        <v>19</v>
      </c>
      <c r="K108" s="7">
        <v>45168</v>
      </c>
      <c r="L108" s="6" t="s">
        <v>48</v>
      </c>
      <c r="Q108" s="8"/>
    </row>
    <row r="109" spans="1:17" x14ac:dyDescent="0.25">
      <c r="A109" s="4" t="s">
        <v>190</v>
      </c>
      <c r="B109" s="10" t="s">
        <v>192</v>
      </c>
      <c r="C109" s="6" t="s">
        <v>20</v>
      </c>
      <c r="D109" s="6" t="s">
        <v>32</v>
      </c>
      <c r="E109" s="6" t="s">
        <v>16</v>
      </c>
      <c r="F109" s="6">
        <v>2</v>
      </c>
      <c r="G109" s="6"/>
      <c r="H109" s="6">
        <v>164</v>
      </c>
      <c r="I109" s="6" t="s">
        <v>30</v>
      </c>
      <c r="J109" s="6">
        <v>19</v>
      </c>
      <c r="K109" s="7">
        <v>45168</v>
      </c>
      <c r="L109" s="6" t="s">
        <v>48</v>
      </c>
      <c r="Q109" s="8"/>
    </row>
    <row r="110" spans="1:17" x14ac:dyDescent="0.25">
      <c r="A110" s="4" t="s">
        <v>193</v>
      </c>
      <c r="B110" s="9" t="s">
        <v>194</v>
      </c>
      <c r="C110" s="6" t="s">
        <v>20</v>
      </c>
      <c r="D110" s="6" t="s">
        <v>21</v>
      </c>
      <c r="E110" s="6" t="s">
        <v>16</v>
      </c>
      <c r="F110" s="6"/>
      <c r="G110" s="6"/>
      <c r="H110" s="6">
        <v>182</v>
      </c>
      <c r="I110" s="6" t="s">
        <v>17</v>
      </c>
      <c r="J110" s="6"/>
      <c r="K110" s="7">
        <v>45218</v>
      </c>
      <c r="L110" s="6" t="s">
        <v>66</v>
      </c>
      <c r="Q110" s="8"/>
    </row>
    <row r="111" spans="1:17" x14ac:dyDescent="0.25">
      <c r="A111" s="4" t="s">
        <v>193</v>
      </c>
      <c r="B111" s="10" t="s">
        <v>195</v>
      </c>
      <c r="C111" s="6" t="s">
        <v>20</v>
      </c>
      <c r="D111" s="6" t="s">
        <v>32</v>
      </c>
      <c r="E111" s="6" t="s">
        <v>16</v>
      </c>
      <c r="F111" s="6"/>
      <c r="G111" s="6"/>
      <c r="H111" s="6">
        <v>182</v>
      </c>
      <c r="I111" s="6" t="s">
        <v>17</v>
      </c>
      <c r="J111" s="6"/>
      <c r="K111" s="7">
        <v>45218</v>
      </c>
      <c r="L111" s="6" t="s">
        <v>66</v>
      </c>
      <c r="Q111" s="8"/>
    </row>
    <row r="112" spans="1:17" x14ac:dyDescent="0.25">
      <c r="A112" s="4" t="s">
        <v>196</v>
      </c>
      <c r="B112" s="10" t="s">
        <v>197</v>
      </c>
      <c r="C112" s="6" t="s">
        <v>20</v>
      </c>
      <c r="D112" s="6" t="s">
        <v>32</v>
      </c>
      <c r="E112" s="6" t="s">
        <v>29</v>
      </c>
      <c r="F112" s="6"/>
      <c r="G112" s="6"/>
      <c r="H112" s="6">
        <v>177</v>
      </c>
      <c r="I112" s="6" t="s">
        <v>30</v>
      </c>
      <c r="J112" s="6">
        <v>35</v>
      </c>
      <c r="K112" s="7">
        <v>45105</v>
      </c>
      <c r="L112" s="6" t="s">
        <v>66</v>
      </c>
      <c r="Q112" s="8"/>
    </row>
    <row r="113" spans="1:17" x14ac:dyDescent="0.25">
      <c r="A113" s="4" t="s">
        <v>196</v>
      </c>
      <c r="B113" s="9" t="s">
        <v>198</v>
      </c>
      <c r="C113" s="6" t="s">
        <v>20</v>
      </c>
      <c r="D113" s="6" t="s">
        <v>21</v>
      </c>
      <c r="E113" s="6" t="s">
        <v>29</v>
      </c>
      <c r="F113" s="6"/>
      <c r="G113" s="6"/>
      <c r="H113" s="6">
        <v>177</v>
      </c>
      <c r="I113" s="6" t="s">
        <v>30</v>
      </c>
      <c r="J113" s="6">
        <v>35</v>
      </c>
      <c r="K113" s="7">
        <v>45105</v>
      </c>
      <c r="L113" s="6" t="s">
        <v>66</v>
      </c>
      <c r="Q113" s="8"/>
    </row>
    <row r="114" spans="1:17" x14ac:dyDescent="0.25">
      <c r="A114" s="4" t="s">
        <v>199</v>
      </c>
      <c r="B114" s="9" t="s">
        <v>200</v>
      </c>
      <c r="C114" s="6" t="s">
        <v>24</v>
      </c>
      <c r="D114" s="6" t="s">
        <v>21</v>
      </c>
      <c r="E114" s="6" t="s">
        <v>29</v>
      </c>
      <c r="F114" s="6"/>
      <c r="G114" s="6"/>
      <c r="H114" s="6">
        <v>173</v>
      </c>
      <c r="I114" s="6" t="s">
        <v>30</v>
      </c>
      <c r="J114" s="6"/>
      <c r="K114" s="7">
        <v>44987</v>
      </c>
      <c r="L114" s="6" t="s">
        <v>66</v>
      </c>
      <c r="Q114" s="8"/>
    </row>
    <row r="115" spans="1:17" x14ac:dyDescent="0.25">
      <c r="A115" s="4" t="s">
        <v>199</v>
      </c>
      <c r="B115" s="10" t="s">
        <v>201</v>
      </c>
      <c r="C115" s="6" t="s">
        <v>20</v>
      </c>
      <c r="D115" s="6" t="s">
        <v>32</v>
      </c>
      <c r="E115" s="6" t="s">
        <v>29</v>
      </c>
      <c r="F115" s="6"/>
      <c r="G115" s="6"/>
      <c r="H115" s="6">
        <v>173</v>
      </c>
      <c r="I115" s="6" t="s">
        <v>30</v>
      </c>
      <c r="J115" s="6"/>
      <c r="K115" s="7">
        <v>44987</v>
      </c>
      <c r="L115" s="6" t="s">
        <v>66</v>
      </c>
      <c r="Q115" s="8"/>
    </row>
    <row r="116" spans="1:17" x14ac:dyDescent="0.25">
      <c r="A116" s="4" t="s">
        <v>202</v>
      </c>
      <c r="B116" s="9" t="s">
        <v>203</v>
      </c>
      <c r="C116" s="6" t="s">
        <v>20</v>
      </c>
      <c r="D116" s="6" t="s">
        <v>21</v>
      </c>
      <c r="E116" s="6" t="s">
        <v>62</v>
      </c>
      <c r="F116" s="6"/>
      <c r="G116" s="6"/>
      <c r="H116" s="6">
        <v>160</v>
      </c>
      <c r="I116" s="6" t="s">
        <v>30</v>
      </c>
      <c r="J116" s="6">
        <v>26</v>
      </c>
      <c r="K116" s="7">
        <v>45272</v>
      </c>
      <c r="L116" s="6" t="s">
        <v>44</v>
      </c>
      <c r="Q116" s="8"/>
    </row>
    <row r="117" spans="1:17" x14ac:dyDescent="0.25">
      <c r="A117" s="4" t="s">
        <v>202</v>
      </c>
      <c r="B117" s="5" t="s">
        <v>204</v>
      </c>
      <c r="C117" s="6" t="s">
        <v>20</v>
      </c>
      <c r="D117" s="6" t="s">
        <v>15</v>
      </c>
      <c r="E117" s="6" t="s">
        <v>62</v>
      </c>
      <c r="F117" s="6"/>
      <c r="G117" s="6"/>
      <c r="H117" s="6">
        <v>160</v>
      </c>
      <c r="I117" s="6" t="s">
        <v>30</v>
      </c>
      <c r="J117" s="6">
        <v>26</v>
      </c>
      <c r="K117" s="7">
        <v>45272</v>
      </c>
      <c r="L117" s="6" t="s">
        <v>44</v>
      </c>
      <c r="Q117" s="8"/>
    </row>
    <row r="118" spans="1:17" x14ac:dyDescent="0.25">
      <c r="A118" s="4" t="s">
        <v>205</v>
      </c>
      <c r="B118" s="9" t="s">
        <v>206</v>
      </c>
      <c r="C118" s="6" t="s">
        <v>24</v>
      </c>
      <c r="D118" s="6" t="s">
        <v>21</v>
      </c>
      <c r="E118" s="6" t="s">
        <v>16</v>
      </c>
      <c r="F118" s="6"/>
      <c r="G118" s="6" t="s">
        <v>146</v>
      </c>
      <c r="H118" s="6">
        <v>162</v>
      </c>
      <c r="I118" s="6" t="s">
        <v>30</v>
      </c>
      <c r="J118" s="6"/>
      <c r="K118" s="7">
        <v>45226</v>
      </c>
      <c r="L118" s="6" t="s">
        <v>66</v>
      </c>
      <c r="Q118" s="8"/>
    </row>
    <row r="119" spans="1:17" x14ac:dyDescent="0.25">
      <c r="A119" s="4" t="s">
        <v>205</v>
      </c>
      <c r="B119" s="5" t="s">
        <v>207</v>
      </c>
      <c r="C119" s="6" t="s">
        <v>20</v>
      </c>
      <c r="D119" s="6" t="s">
        <v>15</v>
      </c>
      <c r="E119" s="6" t="s">
        <v>16</v>
      </c>
      <c r="F119" s="6"/>
      <c r="G119" s="6" t="s">
        <v>146</v>
      </c>
      <c r="H119" s="6">
        <v>162</v>
      </c>
      <c r="I119" s="6" t="s">
        <v>30</v>
      </c>
      <c r="J119" s="6"/>
      <c r="K119" s="7">
        <v>45226</v>
      </c>
      <c r="L119" s="6" t="s">
        <v>66</v>
      </c>
      <c r="Q119" s="8"/>
    </row>
    <row r="120" spans="1:17" x14ac:dyDescent="0.25">
      <c r="A120" s="4" t="s">
        <v>208</v>
      </c>
      <c r="B120" s="10" t="s">
        <v>209</v>
      </c>
      <c r="C120" s="6" t="s">
        <v>20</v>
      </c>
      <c r="D120" s="6" t="s">
        <v>32</v>
      </c>
      <c r="E120" s="6" t="s">
        <v>62</v>
      </c>
      <c r="F120" s="6"/>
      <c r="G120" s="6"/>
      <c r="H120" s="6">
        <v>173</v>
      </c>
      <c r="I120" s="6" t="s">
        <v>17</v>
      </c>
      <c r="J120" s="6"/>
      <c r="K120" s="7">
        <v>45250</v>
      </c>
      <c r="L120" s="6" t="s">
        <v>52</v>
      </c>
      <c r="Q120" s="8"/>
    </row>
    <row r="121" spans="1:17" x14ac:dyDescent="0.25">
      <c r="A121" s="4" t="s">
        <v>208</v>
      </c>
      <c r="B121" s="5" t="s">
        <v>210</v>
      </c>
      <c r="C121" s="6" t="s">
        <v>20</v>
      </c>
      <c r="D121" s="6" t="s">
        <v>15</v>
      </c>
      <c r="E121" s="6" t="s">
        <v>62</v>
      </c>
      <c r="F121" s="6"/>
      <c r="G121" s="6"/>
      <c r="H121" s="6">
        <v>173</v>
      </c>
      <c r="I121" s="6" t="s">
        <v>17</v>
      </c>
      <c r="J121" s="6"/>
      <c r="K121" s="7">
        <v>45250</v>
      </c>
      <c r="L121" s="6" t="s">
        <v>18</v>
      </c>
      <c r="Q121" s="8"/>
    </row>
    <row r="122" spans="1:17" x14ac:dyDescent="0.25">
      <c r="A122" s="4" t="s">
        <v>211</v>
      </c>
      <c r="B122" s="10" t="s">
        <v>212</v>
      </c>
      <c r="C122" s="6" t="s">
        <v>24</v>
      </c>
      <c r="D122" s="6" t="s">
        <v>32</v>
      </c>
      <c r="E122" s="6" t="s">
        <v>29</v>
      </c>
      <c r="F122" s="6"/>
      <c r="G122" s="6"/>
      <c r="H122" s="6">
        <v>163</v>
      </c>
      <c r="I122" s="6" t="s">
        <v>30</v>
      </c>
      <c r="J122" s="6">
        <v>17</v>
      </c>
      <c r="K122" s="7">
        <v>45122</v>
      </c>
      <c r="L122" s="6" t="s">
        <v>52</v>
      </c>
      <c r="Q122" s="8"/>
    </row>
    <row r="123" spans="1:17" x14ac:dyDescent="0.25">
      <c r="A123" s="4" t="s">
        <v>211</v>
      </c>
      <c r="B123" s="9" t="s">
        <v>213</v>
      </c>
      <c r="C123" s="6" t="s">
        <v>20</v>
      </c>
      <c r="D123" s="6" t="s">
        <v>21</v>
      </c>
      <c r="E123" s="6" t="s">
        <v>29</v>
      </c>
      <c r="F123" s="6"/>
      <c r="G123" s="6"/>
      <c r="H123" s="6">
        <v>163</v>
      </c>
      <c r="I123" s="6" t="s">
        <v>30</v>
      </c>
      <c r="J123" s="6">
        <v>17</v>
      </c>
      <c r="K123" s="7">
        <v>45122</v>
      </c>
      <c r="L123" s="6" t="s">
        <v>52</v>
      </c>
      <c r="Q123" s="8"/>
    </row>
    <row r="124" spans="1:17" x14ac:dyDescent="0.25">
      <c r="A124" s="4" t="s">
        <v>214</v>
      </c>
      <c r="B124" s="9" t="s">
        <v>215</v>
      </c>
      <c r="C124" s="6" t="s">
        <v>20</v>
      </c>
      <c r="D124" s="6" t="s">
        <v>21</v>
      </c>
      <c r="E124" s="6" t="s">
        <v>62</v>
      </c>
      <c r="F124" s="6"/>
      <c r="G124" s="6" t="s">
        <v>146</v>
      </c>
      <c r="H124" s="6">
        <v>165</v>
      </c>
      <c r="I124" s="6" t="s">
        <v>30</v>
      </c>
      <c r="J124" s="6">
        <v>28</v>
      </c>
      <c r="K124" s="7">
        <v>45190</v>
      </c>
      <c r="L124" s="6" t="s">
        <v>48</v>
      </c>
      <c r="Q124" s="8"/>
    </row>
    <row r="125" spans="1:17" x14ac:dyDescent="0.25">
      <c r="A125" s="4" t="s">
        <v>214</v>
      </c>
      <c r="B125" s="5" t="s">
        <v>216</v>
      </c>
      <c r="C125" s="6" t="s">
        <v>20</v>
      </c>
      <c r="D125" s="6" t="s">
        <v>15</v>
      </c>
      <c r="E125" s="6" t="s">
        <v>62</v>
      </c>
      <c r="F125" s="6"/>
      <c r="G125" s="6" t="s">
        <v>146</v>
      </c>
      <c r="H125" s="6">
        <v>165</v>
      </c>
      <c r="I125" s="6" t="s">
        <v>30</v>
      </c>
      <c r="J125" s="6">
        <v>28</v>
      </c>
      <c r="K125" s="7">
        <v>45190</v>
      </c>
      <c r="L125" s="6" t="s">
        <v>48</v>
      </c>
      <c r="Q125" s="8"/>
    </row>
    <row r="126" spans="1:17" x14ac:dyDescent="0.25">
      <c r="A126" s="4" t="s">
        <v>217</v>
      </c>
      <c r="B126" s="9" t="s">
        <v>218</v>
      </c>
      <c r="C126" s="6" t="s">
        <v>20</v>
      </c>
      <c r="D126" s="6" t="s">
        <v>21</v>
      </c>
      <c r="E126" s="6" t="s">
        <v>62</v>
      </c>
      <c r="F126" s="6"/>
      <c r="G126" s="6"/>
      <c r="H126" s="6">
        <v>174</v>
      </c>
      <c r="I126" s="6" t="s">
        <v>17</v>
      </c>
      <c r="J126" s="6">
        <v>18</v>
      </c>
      <c r="K126" s="7">
        <v>45130</v>
      </c>
      <c r="L126" s="6" t="s">
        <v>48</v>
      </c>
      <c r="Q126" s="8"/>
    </row>
    <row r="127" spans="1:17" x14ac:dyDescent="0.25">
      <c r="A127" s="4" t="s">
        <v>217</v>
      </c>
      <c r="B127" s="10" t="s">
        <v>219</v>
      </c>
      <c r="C127" s="6" t="s">
        <v>20</v>
      </c>
      <c r="D127" s="6" t="s">
        <v>32</v>
      </c>
      <c r="E127" s="6" t="s">
        <v>62</v>
      </c>
      <c r="F127" s="6"/>
      <c r="G127" s="6"/>
      <c r="H127" s="6">
        <v>174</v>
      </c>
      <c r="I127" s="6" t="s">
        <v>17</v>
      </c>
      <c r="J127" s="6">
        <v>18</v>
      </c>
      <c r="K127" s="7">
        <v>45130</v>
      </c>
      <c r="L127" s="6" t="s">
        <v>18</v>
      </c>
      <c r="Q127" s="8"/>
    </row>
    <row r="128" spans="1:17" x14ac:dyDescent="0.25">
      <c r="A128" s="4" t="s">
        <v>220</v>
      </c>
      <c r="B128" s="5" t="s">
        <v>221</v>
      </c>
      <c r="C128" s="6" t="s">
        <v>24</v>
      </c>
      <c r="D128" s="6" t="s">
        <v>15</v>
      </c>
      <c r="E128" s="6" t="s">
        <v>62</v>
      </c>
      <c r="F128" s="6">
        <v>2</v>
      </c>
      <c r="G128" s="6"/>
      <c r="H128" s="6">
        <v>173</v>
      </c>
      <c r="I128" s="6" t="s">
        <v>17</v>
      </c>
      <c r="J128" s="6">
        <v>27</v>
      </c>
      <c r="K128" s="7">
        <v>45196</v>
      </c>
      <c r="L128" s="6" t="s">
        <v>52</v>
      </c>
      <c r="Q128" s="8"/>
    </row>
    <row r="129" spans="1:17" x14ac:dyDescent="0.25">
      <c r="A129" s="4" t="s">
        <v>220</v>
      </c>
      <c r="B129" s="10" t="s">
        <v>222</v>
      </c>
      <c r="C129" s="6" t="s">
        <v>20</v>
      </c>
      <c r="D129" s="6" t="s">
        <v>32</v>
      </c>
      <c r="E129" s="6" t="s">
        <v>62</v>
      </c>
      <c r="F129" s="6">
        <v>2</v>
      </c>
      <c r="G129" s="6"/>
      <c r="H129" s="6">
        <v>173</v>
      </c>
      <c r="I129" s="6" t="s">
        <v>17</v>
      </c>
      <c r="J129" s="6">
        <v>27</v>
      </c>
      <c r="K129" s="7">
        <v>45196</v>
      </c>
      <c r="L129" s="6" t="s">
        <v>44</v>
      </c>
      <c r="Q129" s="8"/>
    </row>
    <row r="130" spans="1:17" x14ac:dyDescent="0.25">
      <c r="A130" s="4" t="s">
        <v>223</v>
      </c>
      <c r="B130" s="9" t="s">
        <v>224</v>
      </c>
      <c r="C130" s="6" t="s">
        <v>20</v>
      </c>
      <c r="D130" s="6" t="s">
        <v>21</v>
      </c>
      <c r="E130" s="6" t="s">
        <v>29</v>
      </c>
      <c r="F130" s="6"/>
      <c r="G130" s="6"/>
      <c r="H130" s="6">
        <v>173</v>
      </c>
      <c r="I130" s="6" t="s">
        <v>17</v>
      </c>
      <c r="J130" s="6">
        <v>33</v>
      </c>
      <c r="K130" s="7">
        <v>45023</v>
      </c>
      <c r="L130" s="6" t="s">
        <v>48</v>
      </c>
      <c r="Q130" s="8"/>
    </row>
    <row r="131" spans="1:17" x14ac:dyDescent="0.25">
      <c r="A131" s="4" t="s">
        <v>223</v>
      </c>
      <c r="B131" s="10" t="s">
        <v>225</v>
      </c>
      <c r="C131" s="6" t="s">
        <v>24</v>
      </c>
      <c r="D131" s="6" t="s">
        <v>32</v>
      </c>
      <c r="E131" s="6" t="s">
        <v>29</v>
      </c>
      <c r="F131" s="6">
        <v>2</v>
      </c>
      <c r="G131" s="6"/>
      <c r="H131" s="6">
        <v>173</v>
      </c>
      <c r="I131" s="6" t="s">
        <v>17</v>
      </c>
      <c r="J131" s="6">
        <v>33</v>
      </c>
      <c r="K131" s="7">
        <v>45023</v>
      </c>
      <c r="L131" s="6" t="s">
        <v>48</v>
      </c>
      <c r="Q131" s="8"/>
    </row>
    <row r="132" spans="1:17" x14ac:dyDescent="0.25">
      <c r="A132" s="4" t="s">
        <v>226</v>
      </c>
      <c r="B132" s="9" t="s">
        <v>227</v>
      </c>
      <c r="C132" s="6" t="s">
        <v>24</v>
      </c>
      <c r="D132" s="6" t="s">
        <v>21</v>
      </c>
      <c r="E132" s="6" t="s">
        <v>62</v>
      </c>
      <c r="F132" s="6"/>
      <c r="G132" s="6"/>
      <c r="H132" s="6">
        <v>130</v>
      </c>
      <c r="I132" s="6" t="s">
        <v>30</v>
      </c>
      <c r="J132" s="6">
        <v>10</v>
      </c>
      <c r="K132" s="7">
        <v>45075</v>
      </c>
      <c r="L132" s="6" t="s">
        <v>52</v>
      </c>
      <c r="Q132" s="8"/>
    </row>
    <row r="133" spans="1:17" x14ac:dyDescent="0.25">
      <c r="A133" s="4" t="s">
        <v>226</v>
      </c>
      <c r="B133" s="10" t="s">
        <v>228</v>
      </c>
      <c r="C133" s="6" t="s">
        <v>24</v>
      </c>
      <c r="D133" s="6" t="s">
        <v>32</v>
      </c>
      <c r="E133" s="6" t="s">
        <v>62</v>
      </c>
      <c r="F133" s="6"/>
      <c r="G133" s="6"/>
      <c r="H133" s="6">
        <v>130</v>
      </c>
      <c r="I133" s="6" t="s">
        <v>30</v>
      </c>
      <c r="J133" s="6">
        <v>10</v>
      </c>
      <c r="K133" s="7">
        <v>45075</v>
      </c>
      <c r="L133" s="6" t="s">
        <v>52</v>
      </c>
      <c r="Q133" s="8"/>
    </row>
    <row r="134" spans="1:17" x14ac:dyDescent="0.25">
      <c r="A134" s="4" t="s">
        <v>229</v>
      </c>
      <c r="B134" s="5" t="s">
        <v>230</v>
      </c>
      <c r="C134" s="6" t="s">
        <v>14</v>
      </c>
      <c r="D134" s="6" t="s">
        <v>15</v>
      </c>
      <c r="E134" s="6" t="s">
        <v>16</v>
      </c>
      <c r="F134" s="6"/>
      <c r="G134" s="6" t="s">
        <v>146</v>
      </c>
      <c r="H134" s="6">
        <v>132</v>
      </c>
      <c r="I134" s="6" t="s">
        <v>30</v>
      </c>
      <c r="J134" s="6">
        <v>14</v>
      </c>
      <c r="K134" s="7">
        <v>44962</v>
      </c>
      <c r="L134" s="6" t="s">
        <v>48</v>
      </c>
      <c r="Q134" s="8"/>
    </row>
    <row r="135" spans="1:17" x14ac:dyDescent="0.25">
      <c r="A135" s="4" t="s">
        <v>229</v>
      </c>
      <c r="B135" s="9" t="s">
        <v>231</v>
      </c>
      <c r="C135" s="6" t="s">
        <v>20</v>
      </c>
      <c r="D135" s="6" t="s">
        <v>21</v>
      </c>
      <c r="E135" s="6" t="s">
        <v>16</v>
      </c>
      <c r="F135" s="6"/>
      <c r="G135" s="6" t="s">
        <v>146</v>
      </c>
      <c r="H135" s="6">
        <v>132</v>
      </c>
      <c r="I135" s="6" t="s">
        <v>30</v>
      </c>
      <c r="J135" s="6">
        <v>14</v>
      </c>
      <c r="K135" s="7">
        <v>44962</v>
      </c>
      <c r="L135" s="6" t="s">
        <v>48</v>
      </c>
      <c r="Q135" s="8"/>
    </row>
    <row r="136" spans="1:17" x14ac:dyDescent="0.25">
      <c r="A136" s="4" t="s">
        <v>232</v>
      </c>
      <c r="B136" s="5" t="s">
        <v>233</v>
      </c>
      <c r="C136" s="6" t="s">
        <v>20</v>
      </c>
      <c r="D136" s="6" t="s">
        <v>15</v>
      </c>
      <c r="E136" s="6" t="s">
        <v>16</v>
      </c>
      <c r="F136" s="6"/>
      <c r="G136" s="6"/>
      <c r="H136" s="6">
        <v>149</v>
      </c>
      <c r="I136" s="6" t="s">
        <v>30</v>
      </c>
      <c r="J136" s="6"/>
      <c r="K136" s="7">
        <v>44968</v>
      </c>
      <c r="L136" s="6" t="s">
        <v>44</v>
      </c>
      <c r="Q136" s="8"/>
    </row>
    <row r="137" spans="1:17" x14ac:dyDescent="0.25">
      <c r="A137" s="4" t="s">
        <v>232</v>
      </c>
      <c r="B137" s="10" t="s">
        <v>234</v>
      </c>
      <c r="C137" s="6" t="s">
        <v>14</v>
      </c>
      <c r="D137" s="6" t="s">
        <v>32</v>
      </c>
      <c r="E137" s="6" t="s">
        <v>16</v>
      </c>
      <c r="F137" s="6"/>
      <c r="G137" s="6"/>
      <c r="H137" s="6">
        <v>149</v>
      </c>
      <c r="I137" s="6" t="s">
        <v>30</v>
      </c>
      <c r="J137" s="6"/>
      <c r="K137" s="7">
        <v>44968</v>
      </c>
      <c r="L137" s="6" t="s">
        <v>25</v>
      </c>
      <c r="Q137" s="8"/>
    </row>
    <row r="138" spans="1:17" x14ac:dyDescent="0.25">
      <c r="A138" s="4" t="s">
        <v>235</v>
      </c>
      <c r="B138" s="5" t="s">
        <v>236</v>
      </c>
      <c r="C138" s="6" t="s">
        <v>24</v>
      </c>
      <c r="D138" s="6" t="s">
        <v>15</v>
      </c>
      <c r="E138" s="6" t="s">
        <v>16</v>
      </c>
      <c r="F138" s="6"/>
      <c r="G138" s="6"/>
      <c r="H138" s="6">
        <v>168</v>
      </c>
      <c r="I138" s="6" t="s">
        <v>17</v>
      </c>
      <c r="J138" s="6">
        <v>18</v>
      </c>
      <c r="K138" s="7">
        <v>45232</v>
      </c>
      <c r="L138" s="6" t="s">
        <v>66</v>
      </c>
      <c r="Q138" s="8"/>
    </row>
    <row r="139" spans="1:17" x14ac:dyDescent="0.25">
      <c r="A139" s="4" t="s">
        <v>235</v>
      </c>
      <c r="B139" s="10" t="s">
        <v>237</v>
      </c>
      <c r="C139" s="6" t="s">
        <v>20</v>
      </c>
      <c r="D139" s="6" t="s">
        <v>32</v>
      </c>
      <c r="E139" s="6" t="s">
        <v>16</v>
      </c>
      <c r="F139" s="6"/>
      <c r="G139" s="6"/>
      <c r="H139" s="6">
        <v>168</v>
      </c>
      <c r="I139" s="6" t="s">
        <v>17</v>
      </c>
      <c r="J139" s="6">
        <v>18</v>
      </c>
      <c r="K139" s="7">
        <v>45232</v>
      </c>
      <c r="L139" s="6" t="s">
        <v>66</v>
      </c>
      <c r="Q139" s="8"/>
    </row>
    <row r="140" spans="1:17" x14ac:dyDescent="0.25">
      <c r="A140" s="4" t="s">
        <v>238</v>
      </c>
      <c r="B140" s="10" t="s">
        <v>239</v>
      </c>
      <c r="C140" s="6" t="s">
        <v>24</v>
      </c>
      <c r="D140" s="6" t="s">
        <v>32</v>
      </c>
      <c r="E140" s="6" t="s">
        <v>29</v>
      </c>
      <c r="F140" s="6"/>
      <c r="G140" s="6"/>
      <c r="H140" s="6">
        <v>133</v>
      </c>
      <c r="I140" s="6" t="s">
        <v>17</v>
      </c>
      <c r="J140" s="6">
        <v>10</v>
      </c>
      <c r="K140" s="7">
        <v>44985</v>
      </c>
      <c r="L140" s="6" t="s">
        <v>48</v>
      </c>
      <c r="Q140" s="8"/>
    </row>
    <row r="141" spans="1:17" x14ac:dyDescent="0.25">
      <c r="A141" s="4" t="s">
        <v>238</v>
      </c>
      <c r="B141" s="9" t="s">
        <v>240</v>
      </c>
      <c r="C141" s="6" t="s">
        <v>20</v>
      </c>
      <c r="D141" s="6" t="s">
        <v>21</v>
      </c>
      <c r="E141" s="6" t="s">
        <v>29</v>
      </c>
      <c r="F141" s="6"/>
      <c r="G141" s="6"/>
      <c r="H141" s="6">
        <v>133</v>
      </c>
      <c r="I141" s="6" t="s">
        <v>17</v>
      </c>
      <c r="J141" s="6">
        <v>10</v>
      </c>
      <c r="K141" s="7">
        <v>44985</v>
      </c>
      <c r="L141" s="6" t="s">
        <v>48</v>
      </c>
      <c r="Q141" s="8"/>
    </row>
    <row r="142" spans="1:17" x14ac:dyDescent="0.25">
      <c r="A142" s="4" t="s">
        <v>241</v>
      </c>
      <c r="B142" s="10" t="s">
        <v>242</v>
      </c>
      <c r="C142" s="6" t="s">
        <v>20</v>
      </c>
      <c r="D142" s="6" t="s">
        <v>32</v>
      </c>
      <c r="E142" s="6" t="s">
        <v>16</v>
      </c>
      <c r="F142" s="6"/>
      <c r="G142" s="6"/>
      <c r="H142" s="6">
        <v>133</v>
      </c>
      <c r="I142" s="6" t="s">
        <v>30</v>
      </c>
      <c r="J142" s="6">
        <v>12</v>
      </c>
      <c r="K142" s="7">
        <v>45221</v>
      </c>
      <c r="L142" s="6" t="s">
        <v>52</v>
      </c>
      <c r="Q142" s="8"/>
    </row>
    <row r="143" spans="1:17" x14ac:dyDescent="0.25">
      <c r="A143" s="4" t="s">
        <v>241</v>
      </c>
      <c r="B143" s="5" t="s">
        <v>243</v>
      </c>
      <c r="C143" s="6" t="s">
        <v>20</v>
      </c>
      <c r="D143" s="6" t="s">
        <v>15</v>
      </c>
      <c r="E143" s="6" t="s">
        <v>16</v>
      </c>
      <c r="F143" s="6"/>
      <c r="G143" s="6"/>
      <c r="H143" s="6">
        <v>133</v>
      </c>
      <c r="I143" s="6" t="s">
        <v>30</v>
      </c>
      <c r="J143" s="6">
        <v>12</v>
      </c>
      <c r="K143" s="7">
        <v>45221</v>
      </c>
      <c r="L143" s="6" t="s">
        <v>66</v>
      </c>
      <c r="Q143" s="8"/>
    </row>
    <row r="144" spans="1:17" x14ac:dyDescent="0.25">
      <c r="A144" s="4" t="s">
        <v>244</v>
      </c>
      <c r="B144" s="9" t="s">
        <v>245</v>
      </c>
      <c r="C144" s="6" t="s">
        <v>20</v>
      </c>
      <c r="D144" s="6" t="s">
        <v>21</v>
      </c>
      <c r="E144" s="6" t="s">
        <v>16</v>
      </c>
      <c r="F144" s="6"/>
      <c r="G144" s="6"/>
      <c r="H144" s="6">
        <v>155</v>
      </c>
      <c r="I144" s="6" t="s">
        <v>30</v>
      </c>
      <c r="J144" s="6">
        <v>16</v>
      </c>
      <c r="K144" s="7">
        <v>45179</v>
      </c>
      <c r="L144" s="6" t="s">
        <v>66</v>
      </c>
      <c r="Q144" s="8"/>
    </row>
    <row r="145" spans="1:17" x14ac:dyDescent="0.25">
      <c r="A145" s="4" t="s">
        <v>244</v>
      </c>
      <c r="B145" s="10" t="s">
        <v>246</v>
      </c>
      <c r="C145" s="6" t="s">
        <v>20</v>
      </c>
      <c r="D145" s="6" t="s">
        <v>32</v>
      </c>
      <c r="E145" s="6" t="s">
        <v>16</v>
      </c>
      <c r="F145" s="6"/>
      <c r="G145" s="6"/>
      <c r="H145" s="6">
        <v>155</v>
      </c>
      <c r="I145" s="6" t="s">
        <v>30</v>
      </c>
      <c r="J145" s="6">
        <v>16</v>
      </c>
      <c r="K145" s="7">
        <v>45179</v>
      </c>
      <c r="L145" s="6" t="s">
        <v>66</v>
      </c>
      <c r="Q145" s="8"/>
    </row>
    <row r="146" spans="1:17" x14ac:dyDescent="0.25">
      <c r="A146" s="11" t="s">
        <v>247</v>
      </c>
      <c r="B146" s="10" t="s">
        <v>248</v>
      </c>
      <c r="C146" s="6" t="s">
        <v>24</v>
      </c>
      <c r="D146" s="6" t="s">
        <v>32</v>
      </c>
      <c r="E146" s="6" t="s">
        <v>16</v>
      </c>
      <c r="F146" s="6"/>
      <c r="G146" s="6" t="s">
        <v>146</v>
      </c>
      <c r="H146" s="6">
        <v>130</v>
      </c>
      <c r="I146" s="6" t="s">
        <v>30</v>
      </c>
      <c r="J146" s="6"/>
      <c r="K146" s="7" t="s">
        <v>249</v>
      </c>
      <c r="L146" s="6" t="s">
        <v>25</v>
      </c>
      <c r="Q146" s="8"/>
    </row>
    <row r="147" spans="1:17" x14ac:dyDescent="0.25">
      <c r="A147" s="11" t="s">
        <v>247</v>
      </c>
      <c r="B147" s="5" t="s">
        <v>250</v>
      </c>
      <c r="C147" s="6" t="s">
        <v>20</v>
      </c>
      <c r="D147" s="6" t="s">
        <v>15</v>
      </c>
      <c r="E147" s="6" t="s">
        <v>16</v>
      </c>
      <c r="F147" s="6"/>
      <c r="G147" s="6" t="s">
        <v>146</v>
      </c>
      <c r="H147" s="6">
        <v>130</v>
      </c>
      <c r="I147" s="6" t="s">
        <v>30</v>
      </c>
      <c r="J147" s="6"/>
      <c r="K147" s="7" t="s">
        <v>249</v>
      </c>
      <c r="L147" s="6" t="s">
        <v>25</v>
      </c>
      <c r="Q147" s="8"/>
    </row>
    <row r="148" spans="1:17" x14ac:dyDescent="0.25">
      <c r="A148" s="11" t="s">
        <v>251</v>
      </c>
      <c r="B148" s="5" t="s">
        <v>252</v>
      </c>
      <c r="C148" s="6" t="s">
        <v>24</v>
      </c>
      <c r="D148" s="6" t="s">
        <v>15</v>
      </c>
      <c r="E148" s="6" t="s">
        <v>16</v>
      </c>
      <c r="F148" s="6"/>
      <c r="G148" s="6"/>
      <c r="H148" s="6">
        <v>153</v>
      </c>
      <c r="I148" s="6" t="s">
        <v>30</v>
      </c>
      <c r="J148" s="6"/>
      <c r="K148" s="7" t="s">
        <v>249</v>
      </c>
      <c r="L148" s="6" t="s">
        <v>44</v>
      </c>
      <c r="Q148" s="8"/>
    </row>
    <row r="149" spans="1:17" x14ac:dyDescent="0.25">
      <c r="A149" s="11" t="s">
        <v>251</v>
      </c>
      <c r="B149" s="10" t="s">
        <v>253</v>
      </c>
      <c r="C149" s="6" t="s">
        <v>20</v>
      </c>
      <c r="D149" s="6" t="s">
        <v>32</v>
      </c>
      <c r="E149" s="6" t="s">
        <v>16</v>
      </c>
      <c r="F149" s="6"/>
      <c r="G149" s="6"/>
      <c r="H149" s="6">
        <v>153</v>
      </c>
      <c r="I149" s="6" t="s">
        <v>30</v>
      </c>
      <c r="J149" s="6"/>
      <c r="K149" s="7" t="s">
        <v>249</v>
      </c>
      <c r="L149" s="6" t="s">
        <v>44</v>
      </c>
      <c r="Q149" s="8"/>
    </row>
    <row r="150" spans="1:17" x14ac:dyDescent="0.25">
      <c r="A150" s="11" t="s">
        <v>254</v>
      </c>
      <c r="B150" s="5" t="s">
        <v>255</v>
      </c>
      <c r="C150" s="6" t="s">
        <v>20</v>
      </c>
      <c r="D150" s="6" t="s">
        <v>15</v>
      </c>
      <c r="E150" s="6" t="s">
        <v>62</v>
      </c>
      <c r="F150" s="6"/>
      <c r="G150" s="6"/>
      <c r="H150" s="6">
        <v>154</v>
      </c>
      <c r="I150" s="6" t="s">
        <v>30</v>
      </c>
      <c r="J150" s="6"/>
      <c r="K150" s="7" t="s">
        <v>249</v>
      </c>
      <c r="L150" s="6" t="s">
        <v>18</v>
      </c>
      <c r="Q150" s="8"/>
    </row>
    <row r="151" spans="1:17" x14ac:dyDescent="0.25">
      <c r="A151" s="11" t="s">
        <v>254</v>
      </c>
      <c r="B151" s="10" t="s">
        <v>256</v>
      </c>
      <c r="C151" s="6" t="s">
        <v>20</v>
      </c>
      <c r="D151" s="6" t="s">
        <v>32</v>
      </c>
      <c r="E151" s="6" t="s">
        <v>62</v>
      </c>
      <c r="F151" s="6"/>
      <c r="G151" s="6"/>
      <c r="H151" s="6">
        <v>154</v>
      </c>
      <c r="I151" s="6" t="s">
        <v>30</v>
      </c>
      <c r="J151" s="6"/>
      <c r="K151" s="7" t="s">
        <v>249</v>
      </c>
      <c r="L151" s="6" t="s">
        <v>18</v>
      </c>
      <c r="Q151" s="8"/>
    </row>
    <row r="152" spans="1:17" x14ac:dyDescent="0.25">
      <c r="A152" s="11" t="s">
        <v>257</v>
      </c>
      <c r="B152" s="9" t="s">
        <v>258</v>
      </c>
      <c r="C152" s="6" t="s">
        <v>259</v>
      </c>
      <c r="D152" s="6" t="s">
        <v>21</v>
      </c>
      <c r="E152" s="6" t="s">
        <v>16</v>
      </c>
      <c r="F152" s="6"/>
      <c r="G152" s="6"/>
      <c r="H152" s="6">
        <v>172</v>
      </c>
      <c r="I152" s="6" t="s">
        <v>30</v>
      </c>
      <c r="J152" s="6"/>
      <c r="K152" s="7" t="s">
        <v>249</v>
      </c>
      <c r="L152" s="6" t="s">
        <v>48</v>
      </c>
      <c r="Q152" s="8"/>
    </row>
    <row r="153" spans="1:17" x14ac:dyDescent="0.25">
      <c r="A153" s="11" t="s">
        <v>257</v>
      </c>
      <c r="B153" s="5" t="s">
        <v>260</v>
      </c>
      <c r="C153" s="6" t="s">
        <v>259</v>
      </c>
      <c r="D153" s="6" t="s">
        <v>15</v>
      </c>
      <c r="E153" s="6" t="s">
        <v>16</v>
      </c>
      <c r="F153" s="6"/>
      <c r="G153" s="6"/>
      <c r="H153" s="6">
        <v>172</v>
      </c>
      <c r="I153" s="6" t="s">
        <v>30</v>
      </c>
      <c r="J153" s="6"/>
      <c r="K153" s="7" t="s">
        <v>249</v>
      </c>
      <c r="L153" s="6" t="s">
        <v>48</v>
      </c>
      <c r="Q153" s="8"/>
    </row>
    <row r="154" spans="1:17" x14ac:dyDescent="0.25">
      <c r="A154" s="11" t="s">
        <v>261</v>
      </c>
      <c r="B154" s="10" t="s">
        <v>262</v>
      </c>
      <c r="C154" s="6" t="s">
        <v>20</v>
      </c>
      <c r="D154" s="6" t="s">
        <v>32</v>
      </c>
      <c r="E154" s="6" t="s">
        <v>16</v>
      </c>
      <c r="F154" s="6"/>
      <c r="G154" s="6"/>
      <c r="H154" s="6">
        <v>166</v>
      </c>
      <c r="I154" s="6" t="s">
        <v>30</v>
      </c>
      <c r="J154" s="6"/>
      <c r="K154" s="7" t="s">
        <v>249</v>
      </c>
      <c r="L154" s="6" t="s">
        <v>66</v>
      </c>
      <c r="Q154" s="8"/>
    </row>
    <row r="155" spans="1:17" x14ac:dyDescent="0.25">
      <c r="A155" s="11" t="s">
        <v>261</v>
      </c>
      <c r="B155" s="9" t="s">
        <v>263</v>
      </c>
      <c r="C155" s="6" t="s">
        <v>20</v>
      </c>
      <c r="D155" s="6" t="s">
        <v>21</v>
      </c>
      <c r="E155" s="6" t="s">
        <v>16</v>
      </c>
      <c r="F155" s="6"/>
      <c r="G155" s="6"/>
      <c r="H155" s="6">
        <v>166</v>
      </c>
      <c r="I155" s="6" t="s">
        <v>30</v>
      </c>
      <c r="J155" s="6"/>
      <c r="K155" s="7" t="s">
        <v>249</v>
      </c>
      <c r="L155" s="6" t="s">
        <v>66</v>
      </c>
      <c r="Q155" s="8"/>
    </row>
    <row r="156" spans="1:17" x14ac:dyDescent="0.25">
      <c r="A156" s="11" t="s">
        <v>264</v>
      </c>
      <c r="B156" s="5" t="s">
        <v>265</v>
      </c>
      <c r="C156" s="6" t="s">
        <v>24</v>
      </c>
      <c r="D156" s="6" t="s">
        <v>15</v>
      </c>
      <c r="E156" s="6" t="s">
        <v>62</v>
      </c>
      <c r="F156" s="6"/>
      <c r="G156" s="6" t="s">
        <v>146</v>
      </c>
      <c r="H156" s="6">
        <v>150</v>
      </c>
      <c r="I156" s="6" t="s">
        <v>30</v>
      </c>
      <c r="J156" s="6"/>
      <c r="K156" s="7" t="s">
        <v>249</v>
      </c>
      <c r="L156" s="6" t="s">
        <v>25</v>
      </c>
      <c r="Q156" s="8"/>
    </row>
    <row r="157" spans="1:17" x14ac:dyDescent="0.25">
      <c r="A157" s="11" t="s">
        <v>264</v>
      </c>
      <c r="B157" s="9" t="s">
        <v>266</v>
      </c>
      <c r="C157" s="6" t="s">
        <v>20</v>
      </c>
      <c r="D157" s="6" t="s">
        <v>21</v>
      </c>
      <c r="E157" s="6" t="s">
        <v>62</v>
      </c>
      <c r="F157" s="6"/>
      <c r="G157" s="6" t="s">
        <v>146</v>
      </c>
      <c r="H157" s="6">
        <v>150</v>
      </c>
      <c r="I157" s="6" t="s">
        <v>30</v>
      </c>
      <c r="J157" s="6"/>
      <c r="K157" s="7" t="s">
        <v>249</v>
      </c>
      <c r="L157" s="6" t="s">
        <v>25</v>
      </c>
      <c r="Q157" s="8"/>
    </row>
    <row r="158" spans="1:17" x14ac:dyDescent="0.25">
      <c r="A158" s="11" t="s">
        <v>267</v>
      </c>
      <c r="B158" s="9" t="s">
        <v>268</v>
      </c>
      <c r="C158" s="6" t="s">
        <v>20</v>
      </c>
      <c r="D158" s="6" t="s">
        <v>21</v>
      </c>
      <c r="E158" s="6" t="s">
        <v>16</v>
      </c>
      <c r="F158" s="6"/>
      <c r="G158" s="6"/>
      <c r="H158" s="6">
        <v>177</v>
      </c>
      <c r="I158" s="6" t="s">
        <v>17</v>
      </c>
      <c r="J158" s="6"/>
      <c r="K158" s="7" t="s">
        <v>249</v>
      </c>
      <c r="L158" s="6" t="s">
        <v>18</v>
      </c>
      <c r="Q158" s="8"/>
    </row>
    <row r="159" spans="1:17" x14ac:dyDescent="0.25">
      <c r="A159" s="11" t="s">
        <v>267</v>
      </c>
      <c r="B159" s="5" t="s">
        <v>269</v>
      </c>
      <c r="C159" s="6" t="s">
        <v>24</v>
      </c>
      <c r="D159" s="6" t="s">
        <v>15</v>
      </c>
      <c r="E159" s="6" t="s">
        <v>16</v>
      </c>
      <c r="F159" s="6"/>
      <c r="G159" s="6"/>
      <c r="H159" s="6">
        <v>177</v>
      </c>
      <c r="I159" s="6" t="s">
        <v>17</v>
      </c>
      <c r="J159" s="6"/>
      <c r="K159" s="7" t="s">
        <v>249</v>
      </c>
      <c r="L159" s="6" t="s">
        <v>18</v>
      </c>
      <c r="Q159" s="8"/>
    </row>
    <row r="160" spans="1:17" x14ac:dyDescent="0.25">
      <c r="A160" s="11" t="s">
        <v>270</v>
      </c>
      <c r="B160" s="10" t="s">
        <v>271</v>
      </c>
      <c r="C160" s="6" t="s">
        <v>20</v>
      </c>
      <c r="D160" s="6" t="s">
        <v>32</v>
      </c>
      <c r="E160" s="6" t="s">
        <v>62</v>
      </c>
      <c r="F160" s="6"/>
      <c r="G160" s="6"/>
      <c r="H160" s="6">
        <v>177</v>
      </c>
      <c r="I160" s="6" t="s">
        <v>17</v>
      </c>
      <c r="J160" s="6"/>
      <c r="K160" s="7" t="s">
        <v>249</v>
      </c>
      <c r="L160" s="6" t="s">
        <v>44</v>
      </c>
      <c r="Q160" s="8"/>
    </row>
    <row r="161" spans="1:17" x14ac:dyDescent="0.25">
      <c r="A161" s="11" t="s">
        <v>270</v>
      </c>
      <c r="B161" s="9" t="s">
        <v>272</v>
      </c>
      <c r="C161" s="6" t="s">
        <v>24</v>
      </c>
      <c r="D161" s="6" t="s">
        <v>21</v>
      </c>
      <c r="E161" s="6" t="s">
        <v>62</v>
      </c>
      <c r="F161" s="6"/>
      <c r="G161" s="6"/>
      <c r="H161" s="6">
        <v>177</v>
      </c>
      <c r="I161" s="6" t="s">
        <v>17</v>
      </c>
      <c r="J161" s="6"/>
      <c r="K161" s="7" t="s">
        <v>249</v>
      </c>
      <c r="L161" s="6" t="s">
        <v>44</v>
      </c>
      <c r="Q161" s="8"/>
    </row>
    <row r="162" spans="1:17" x14ac:dyDescent="0.25">
      <c r="A162" s="11" t="s">
        <v>273</v>
      </c>
      <c r="B162" s="9" t="s">
        <v>274</v>
      </c>
      <c r="C162" s="6" t="s">
        <v>20</v>
      </c>
      <c r="D162" s="6" t="s">
        <v>21</v>
      </c>
      <c r="E162" s="6" t="s">
        <v>29</v>
      </c>
      <c r="F162" s="6"/>
      <c r="G162" s="6"/>
      <c r="H162" s="6">
        <v>164</v>
      </c>
      <c r="I162" s="6" t="s">
        <v>17</v>
      </c>
      <c r="J162" s="6"/>
      <c r="K162" s="7" t="s">
        <v>249</v>
      </c>
      <c r="L162" s="6" t="s">
        <v>52</v>
      </c>
      <c r="Q162" s="8"/>
    </row>
    <row r="163" spans="1:17" x14ac:dyDescent="0.25">
      <c r="A163" s="11" t="s">
        <v>273</v>
      </c>
      <c r="B163" s="10" t="s">
        <v>275</v>
      </c>
      <c r="C163" s="6" t="s">
        <v>20</v>
      </c>
      <c r="D163" s="6" t="s">
        <v>32</v>
      </c>
      <c r="E163" s="6" t="s">
        <v>29</v>
      </c>
      <c r="F163" s="6"/>
      <c r="G163" s="6"/>
      <c r="H163" s="6">
        <v>164</v>
      </c>
      <c r="I163" s="6" t="s">
        <v>17</v>
      </c>
      <c r="J163" s="6"/>
      <c r="K163" s="7" t="s">
        <v>249</v>
      </c>
      <c r="L163" s="6" t="s">
        <v>52</v>
      </c>
      <c r="Q163" s="8"/>
    </row>
    <row r="164" spans="1:17" x14ac:dyDescent="0.25">
      <c r="A164" s="11" t="s">
        <v>276</v>
      </c>
      <c r="B164" s="10" t="s">
        <v>277</v>
      </c>
      <c r="C164" s="6" t="s">
        <v>20</v>
      </c>
      <c r="D164" s="6" t="s">
        <v>32</v>
      </c>
      <c r="E164" s="6" t="s">
        <v>16</v>
      </c>
      <c r="F164" s="6"/>
      <c r="G164" s="6"/>
      <c r="H164" s="6">
        <v>150</v>
      </c>
      <c r="I164" s="6" t="s">
        <v>30</v>
      </c>
      <c r="J164" s="6"/>
      <c r="K164" s="7" t="s">
        <v>249</v>
      </c>
      <c r="L164" s="6" t="s">
        <v>18</v>
      </c>
      <c r="Q164" s="8"/>
    </row>
    <row r="165" spans="1:17" x14ac:dyDescent="0.25">
      <c r="A165" s="11" t="s">
        <v>276</v>
      </c>
      <c r="B165" s="9" t="s">
        <v>278</v>
      </c>
      <c r="C165" s="6" t="s">
        <v>20</v>
      </c>
      <c r="D165" s="6" t="s">
        <v>21</v>
      </c>
      <c r="E165" s="6" t="s">
        <v>16</v>
      </c>
      <c r="F165" s="6"/>
      <c r="G165" s="6"/>
      <c r="H165" s="6">
        <v>150</v>
      </c>
      <c r="I165" s="6" t="s">
        <v>30</v>
      </c>
      <c r="J165" s="6"/>
      <c r="K165" s="7" t="s">
        <v>249</v>
      </c>
      <c r="L165" s="6" t="s">
        <v>18</v>
      </c>
      <c r="Q165" s="8"/>
    </row>
    <row r="166" spans="1:17" x14ac:dyDescent="0.25">
      <c r="A166" s="11" t="s">
        <v>279</v>
      </c>
      <c r="B166" s="10" t="s">
        <v>280</v>
      </c>
      <c r="C166" s="6" t="s">
        <v>20</v>
      </c>
      <c r="D166" s="6" t="s">
        <v>32</v>
      </c>
      <c r="E166" s="6" t="s">
        <v>29</v>
      </c>
      <c r="F166" s="6"/>
      <c r="G166" s="6"/>
      <c r="H166" s="6">
        <v>123</v>
      </c>
      <c r="I166" s="6" t="s">
        <v>30</v>
      </c>
      <c r="J166" s="6"/>
      <c r="K166" s="7" t="s">
        <v>249</v>
      </c>
      <c r="L166" s="6" t="s">
        <v>48</v>
      </c>
      <c r="Q166" s="8"/>
    </row>
    <row r="167" spans="1:17" x14ac:dyDescent="0.25">
      <c r="A167" s="11" t="s">
        <v>279</v>
      </c>
      <c r="B167" s="9" t="s">
        <v>281</v>
      </c>
      <c r="C167" s="6" t="s">
        <v>20</v>
      </c>
      <c r="D167" s="6" t="s">
        <v>21</v>
      </c>
      <c r="E167" s="6" t="s">
        <v>29</v>
      </c>
      <c r="F167" s="6"/>
      <c r="G167" s="6"/>
      <c r="H167" s="6">
        <v>123</v>
      </c>
      <c r="I167" s="6" t="s">
        <v>30</v>
      </c>
      <c r="J167" s="6"/>
      <c r="K167" s="7" t="s">
        <v>249</v>
      </c>
      <c r="L167" s="6" t="s">
        <v>48</v>
      </c>
      <c r="Q167" s="8"/>
    </row>
    <row r="168" spans="1:17" x14ac:dyDescent="0.25">
      <c r="A168" s="11" t="s">
        <v>282</v>
      </c>
      <c r="B168" s="10" t="s">
        <v>283</v>
      </c>
      <c r="C168" s="6" t="s">
        <v>20</v>
      </c>
      <c r="D168" s="6" t="s">
        <v>32</v>
      </c>
      <c r="E168" s="6" t="s">
        <v>62</v>
      </c>
      <c r="F168" s="6"/>
      <c r="G168" s="6"/>
      <c r="H168" s="6">
        <v>182</v>
      </c>
      <c r="I168" s="6" t="s">
        <v>30</v>
      </c>
      <c r="J168" s="6"/>
      <c r="K168" s="7" t="s">
        <v>249</v>
      </c>
      <c r="L168" s="6" t="s">
        <v>52</v>
      </c>
      <c r="Q168" s="8"/>
    </row>
    <row r="169" spans="1:17" x14ac:dyDescent="0.25">
      <c r="A169" s="11" t="s">
        <v>282</v>
      </c>
      <c r="B169" s="9" t="s">
        <v>284</v>
      </c>
      <c r="C169" s="6" t="s">
        <v>24</v>
      </c>
      <c r="D169" s="6" t="s">
        <v>21</v>
      </c>
      <c r="E169" s="6" t="s">
        <v>62</v>
      </c>
      <c r="F169" s="6"/>
      <c r="G169" s="6"/>
      <c r="H169" s="6">
        <v>182</v>
      </c>
      <c r="I169" s="6" t="s">
        <v>30</v>
      </c>
      <c r="J169" s="6"/>
      <c r="K169" s="7" t="s">
        <v>249</v>
      </c>
      <c r="L169" s="6" t="s">
        <v>52</v>
      </c>
      <c r="Q169" s="8"/>
    </row>
    <row r="170" spans="1:17" x14ac:dyDescent="0.25">
      <c r="A170" s="11" t="s">
        <v>285</v>
      </c>
      <c r="B170" s="10" t="s">
        <v>286</v>
      </c>
      <c r="C170" s="6" t="s">
        <v>20</v>
      </c>
      <c r="D170" s="6" t="s">
        <v>32</v>
      </c>
      <c r="E170" s="6" t="s">
        <v>16</v>
      </c>
      <c r="F170" s="6"/>
      <c r="G170" s="6"/>
      <c r="H170" s="6">
        <v>163</v>
      </c>
      <c r="I170" s="6" t="s">
        <v>30</v>
      </c>
      <c r="J170" s="6"/>
      <c r="K170" s="7" t="s">
        <v>249</v>
      </c>
      <c r="L170" s="6" t="s">
        <v>52</v>
      </c>
      <c r="Q170" s="8"/>
    </row>
    <row r="171" spans="1:17" x14ac:dyDescent="0.25">
      <c r="A171" s="11" t="s">
        <v>287</v>
      </c>
      <c r="B171" s="5" t="s">
        <v>288</v>
      </c>
      <c r="C171" s="6" t="s">
        <v>20</v>
      </c>
      <c r="D171" s="6" t="s">
        <v>15</v>
      </c>
      <c r="E171" s="6" t="s">
        <v>29</v>
      </c>
      <c r="F171" s="6"/>
      <c r="G171" s="6"/>
      <c r="H171" s="6">
        <v>165</v>
      </c>
      <c r="I171" s="6" t="s">
        <v>30</v>
      </c>
      <c r="J171" s="6"/>
      <c r="K171" s="7">
        <v>45017</v>
      </c>
      <c r="L171" s="6" t="s">
        <v>44</v>
      </c>
      <c r="Q171" s="8"/>
    </row>
    <row r="172" spans="1:17" x14ac:dyDescent="0.25">
      <c r="A172" s="11" t="s">
        <v>287</v>
      </c>
      <c r="B172" s="10" t="s">
        <v>289</v>
      </c>
      <c r="C172" s="6" t="s">
        <v>20</v>
      </c>
      <c r="D172" s="6" t="s">
        <v>32</v>
      </c>
      <c r="E172" s="6" t="s">
        <v>29</v>
      </c>
      <c r="F172" s="6"/>
      <c r="G172" s="6"/>
      <c r="H172" s="6">
        <v>165</v>
      </c>
      <c r="I172" s="6" t="s">
        <v>30</v>
      </c>
      <c r="J172" s="6"/>
      <c r="K172" s="7">
        <v>45017</v>
      </c>
      <c r="L172" s="6" t="s">
        <v>44</v>
      </c>
      <c r="Q172" s="8"/>
    </row>
    <row r="173" spans="1:17" x14ac:dyDescent="0.25">
      <c r="A173" s="11" t="s">
        <v>290</v>
      </c>
      <c r="B173" s="5" t="s">
        <v>291</v>
      </c>
      <c r="C173" s="6" t="s">
        <v>20</v>
      </c>
      <c r="D173" s="6" t="s">
        <v>15</v>
      </c>
      <c r="E173" s="6" t="s">
        <v>16</v>
      </c>
      <c r="F173" s="6"/>
      <c r="G173" s="6"/>
      <c r="H173" s="6">
        <v>190</v>
      </c>
      <c r="I173" s="6" t="s">
        <v>17</v>
      </c>
      <c r="J173" s="6"/>
      <c r="K173" s="7" t="s">
        <v>249</v>
      </c>
      <c r="L173" s="6" t="s">
        <v>48</v>
      </c>
      <c r="Q173" s="8"/>
    </row>
    <row r="174" spans="1:17" x14ac:dyDescent="0.25">
      <c r="A174" s="11" t="s">
        <v>290</v>
      </c>
      <c r="B174" s="10" t="s">
        <v>292</v>
      </c>
      <c r="C174" s="6" t="s">
        <v>20</v>
      </c>
      <c r="D174" s="6" t="s">
        <v>32</v>
      </c>
      <c r="E174" s="6" t="s">
        <v>16</v>
      </c>
      <c r="F174" s="6"/>
      <c r="G174" s="6"/>
      <c r="H174" s="6">
        <v>190</v>
      </c>
      <c r="I174" s="6" t="s">
        <v>17</v>
      </c>
      <c r="J174" s="6"/>
      <c r="K174" s="7" t="s">
        <v>249</v>
      </c>
      <c r="L174" s="6" t="s">
        <v>48</v>
      </c>
      <c r="Q174" s="8"/>
    </row>
    <row r="175" spans="1:17" x14ac:dyDescent="0.25">
      <c r="A175" s="11" t="s">
        <v>293</v>
      </c>
      <c r="B175" s="9" t="s">
        <v>294</v>
      </c>
      <c r="C175" s="6" t="s">
        <v>20</v>
      </c>
      <c r="D175" s="6" t="s">
        <v>21</v>
      </c>
      <c r="E175" s="6" t="s">
        <v>62</v>
      </c>
      <c r="F175" s="6"/>
      <c r="G175" s="6"/>
      <c r="H175" s="6">
        <v>175</v>
      </c>
      <c r="I175" s="6" t="s">
        <v>17</v>
      </c>
      <c r="J175" s="6"/>
      <c r="K175" s="7" t="s">
        <v>249</v>
      </c>
      <c r="L175" s="6" t="s">
        <v>25</v>
      </c>
      <c r="Q175" s="8"/>
    </row>
    <row r="176" spans="1:17" x14ac:dyDescent="0.25">
      <c r="A176" s="11" t="s">
        <v>295</v>
      </c>
      <c r="B176" s="10" t="s">
        <v>296</v>
      </c>
      <c r="C176" s="6" t="s">
        <v>20</v>
      </c>
      <c r="D176" s="6" t="s">
        <v>32</v>
      </c>
      <c r="E176" s="6" t="s">
        <v>29</v>
      </c>
      <c r="F176" s="6"/>
      <c r="G176" s="6"/>
      <c r="H176" s="6">
        <v>160</v>
      </c>
      <c r="I176" s="6" t="s">
        <v>30</v>
      </c>
      <c r="J176" s="6"/>
      <c r="K176" s="7" t="s">
        <v>249</v>
      </c>
      <c r="L176" s="6" t="s">
        <v>297</v>
      </c>
      <c r="Q176" s="8"/>
    </row>
    <row r="177" spans="1:17" x14ac:dyDescent="0.25">
      <c r="A177" s="11" t="s">
        <v>295</v>
      </c>
      <c r="B177" s="9" t="s">
        <v>298</v>
      </c>
      <c r="C177" s="6" t="s">
        <v>20</v>
      </c>
      <c r="D177" s="6" t="s">
        <v>21</v>
      </c>
      <c r="E177" s="6" t="s">
        <v>29</v>
      </c>
      <c r="F177" s="6"/>
      <c r="G177" s="6"/>
      <c r="H177" s="6">
        <v>160</v>
      </c>
      <c r="I177" s="6" t="s">
        <v>30</v>
      </c>
      <c r="J177" s="6"/>
      <c r="K177" s="7" t="s">
        <v>249</v>
      </c>
      <c r="L177" s="6" t="s">
        <v>52</v>
      </c>
      <c r="Q177" s="8"/>
    </row>
    <row r="178" spans="1:17" x14ac:dyDescent="0.25">
      <c r="A178" s="11" t="s">
        <v>299</v>
      </c>
      <c r="B178" s="5" t="s">
        <v>300</v>
      </c>
      <c r="C178" s="6" t="s">
        <v>24</v>
      </c>
      <c r="D178" s="6" t="s">
        <v>15</v>
      </c>
      <c r="E178" s="6" t="s">
        <v>29</v>
      </c>
      <c r="F178" s="6"/>
      <c r="G178" s="6"/>
      <c r="H178" s="6">
        <v>159</v>
      </c>
      <c r="I178" s="6" t="s">
        <v>30</v>
      </c>
      <c r="J178" s="6"/>
      <c r="K178" s="7" t="s">
        <v>249</v>
      </c>
      <c r="L178" s="6" t="s">
        <v>25</v>
      </c>
      <c r="Q178" s="8"/>
    </row>
    <row r="179" spans="1:17" x14ac:dyDescent="0.25">
      <c r="A179" s="11" t="s">
        <v>299</v>
      </c>
      <c r="B179" s="9" t="s">
        <v>301</v>
      </c>
      <c r="C179" s="6" t="s">
        <v>24</v>
      </c>
      <c r="D179" s="6" t="s">
        <v>21</v>
      </c>
      <c r="E179" s="6" t="s">
        <v>29</v>
      </c>
      <c r="F179" s="6"/>
      <c r="G179" s="6"/>
      <c r="H179" s="6">
        <v>159</v>
      </c>
      <c r="I179" s="6" t="s">
        <v>30</v>
      </c>
      <c r="J179" s="6"/>
      <c r="K179" s="7" t="s">
        <v>249</v>
      </c>
      <c r="L179" s="6" t="s">
        <v>18</v>
      </c>
      <c r="Q179" s="8"/>
    </row>
    <row r="180" spans="1:17" x14ac:dyDescent="0.25">
      <c r="A180" s="11" t="s">
        <v>302</v>
      </c>
      <c r="B180" s="5" t="s">
        <v>303</v>
      </c>
      <c r="C180" s="6" t="s">
        <v>20</v>
      </c>
      <c r="D180" s="6" t="s">
        <v>15</v>
      </c>
      <c r="E180" s="6" t="s">
        <v>16</v>
      </c>
      <c r="F180" s="6"/>
      <c r="G180" s="6"/>
      <c r="H180" s="6">
        <v>159</v>
      </c>
      <c r="I180" s="6" t="s">
        <v>30</v>
      </c>
      <c r="J180" s="6"/>
      <c r="K180" s="7" t="s">
        <v>249</v>
      </c>
      <c r="L180" s="6" t="s">
        <v>48</v>
      </c>
      <c r="Q180" s="8"/>
    </row>
    <row r="181" spans="1:17" x14ac:dyDescent="0.25">
      <c r="A181" s="11" t="s">
        <v>302</v>
      </c>
      <c r="B181" s="10" t="s">
        <v>304</v>
      </c>
      <c r="C181" s="6" t="s">
        <v>20</v>
      </c>
      <c r="D181" s="6" t="s">
        <v>32</v>
      </c>
      <c r="E181" s="6" t="s">
        <v>16</v>
      </c>
      <c r="F181" s="6"/>
      <c r="G181" s="6"/>
      <c r="H181" s="6">
        <v>159</v>
      </c>
      <c r="I181" s="6" t="s">
        <v>30</v>
      </c>
      <c r="J181" s="6"/>
      <c r="K181" s="7" t="s">
        <v>249</v>
      </c>
      <c r="L181" s="6" t="s">
        <v>48</v>
      </c>
      <c r="Q181" s="8"/>
    </row>
    <row r="182" spans="1:17" x14ac:dyDescent="0.25">
      <c r="A182" s="11" t="s">
        <v>305</v>
      </c>
      <c r="B182" s="9" t="s">
        <v>306</v>
      </c>
      <c r="C182" s="6" t="s">
        <v>24</v>
      </c>
      <c r="D182" s="6" t="s">
        <v>21</v>
      </c>
      <c r="E182" s="6" t="s">
        <v>16</v>
      </c>
      <c r="F182" s="6"/>
      <c r="G182" s="6"/>
      <c r="H182" s="6">
        <v>169</v>
      </c>
      <c r="I182" s="6" t="s">
        <v>30</v>
      </c>
      <c r="J182" s="6"/>
      <c r="K182" s="7" t="s">
        <v>249</v>
      </c>
      <c r="L182" s="6" t="s">
        <v>48</v>
      </c>
      <c r="Q182" s="8"/>
    </row>
    <row r="183" spans="1:17" x14ac:dyDescent="0.25">
      <c r="A183" s="11" t="s">
        <v>307</v>
      </c>
      <c r="B183" s="5" t="s">
        <v>308</v>
      </c>
      <c r="C183" s="6" t="s">
        <v>14</v>
      </c>
      <c r="D183" s="6" t="s">
        <v>15</v>
      </c>
      <c r="E183" s="6" t="s">
        <v>16</v>
      </c>
      <c r="F183" s="6"/>
      <c r="G183" s="6"/>
      <c r="H183" s="6">
        <v>163</v>
      </c>
      <c r="I183" s="6" t="s">
        <v>30</v>
      </c>
      <c r="J183" s="6"/>
      <c r="K183" s="7" t="s">
        <v>249</v>
      </c>
      <c r="L183" s="6" t="s">
        <v>52</v>
      </c>
      <c r="Q183" s="8"/>
    </row>
    <row r="184" spans="1:17" x14ac:dyDescent="0.25">
      <c r="A184" s="11" t="s">
        <v>309</v>
      </c>
      <c r="B184" s="9" t="s">
        <v>310</v>
      </c>
      <c r="C184" s="6" t="s">
        <v>20</v>
      </c>
      <c r="D184" s="6" t="s">
        <v>21</v>
      </c>
      <c r="E184" s="6" t="s">
        <v>62</v>
      </c>
      <c r="F184" s="6"/>
      <c r="G184" s="6"/>
      <c r="H184" s="6">
        <v>183</v>
      </c>
      <c r="I184" s="6" t="s">
        <v>17</v>
      </c>
      <c r="J184" s="6"/>
      <c r="K184" s="7">
        <v>44988</v>
      </c>
      <c r="L184" s="6" t="s">
        <v>18</v>
      </c>
      <c r="Q184" s="8"/>
    </row>
    <row r="185" spans="1:17" x14ac:dyDescent="0.25">
      <c r="A185" s="11" t="s">
        <v>309</v>
      </c>
      <c r="B185" s="5" t="s">
        <v>311</v>
      </c>
      <c r="C185" s="6" t="s">
        <v>24</v>
      </c>
      <c r="D185" s="6" t="s">
        <v>15</v>
      </c>
      <c r="E185" s="6" t="s">
        <v>62</v>
      </c>
      <c r="F185" s="6"/>
      <c r="G185" s="6"/>
      <c r="H185" s="6">
        <v>183</v>
      </c>
      <c r="I185" s="6" t="s">
        <v>17</v>
      </c>
      <c r="J185" s="6"/>
      <c r="K185" s="7">
        <v>44988</v>
      </c>
      <c r="L185" s="6" t="s">
        <v>18</v>
      </c>
      <c r="Q185" s="8"/>
    </row>
    <row r="186" spans="1:17" x14ac:dyDescent="0.25">
      <c r="A186" s="11" t="s">
        <v>312</v>
      </c>
      <c r="B186" s="5" t="s">
        <v>313</v>
      </c>
      <c r="C186" s="6" t="s">
        <v>259</v>
      </c>
      <c r="D186" s="6" t="s">
        <v>15</v>
      </c>
      <c r="E186" s="6" t="s">
        <v>16</v>
      </c>
      <c r="F186" s="6"/>
      <c r="G186" s="6"/>
      <c r="H186" s="6">
        <v>185</v>
      </c>
      <c r="I186" s="6" t="s">
        <v>30</v>
      </c>
      <c r="J186" s="6"/>
      <c r="K186" s="7" t="s">
        <v>249</v>
      </c>
      <c r="L186" s="6" t="s">
        <v>25</v>
      </c>
      <c r="Q186" s="8"/>
    </row>
    <row r="187" spans="1:17" x14ac:dyDescent="0.25">
      <c r="A187" s="11" t="s">
        <v>312</v>
      </c>
      <c r="B187" s="9" t="s">
        <v>314</v>
      </c>
      <c r="C187" s="6" t="s">
        <v>259</v>
      </c>
      <c r="D187" s="6" t="s">
        <v>21</v>
      </c>
      <c r="E187" s="6" t="s">
        <v>16</v>
      </c>
      <c r="F187" s="6"/>
      <c r="G187" s="6"/>
      <c r="H187" s="6">
        <v>185</v>
      </c>
      <c r="I187" s="6" t="s">
        <v>30</v>
      </c>
      <c r="J187" s="6"/>
      <c r="K187" s="7" t="s">
        <v>249</v>
      </c>
      <c r="L187" s="6" t="s">
        <v>25</v>
      </c>
      <c r="Q187" s="8"/>
    </row>
    <row r="188" spans="1:17" x14ac:dyDescent="0.25">
      <c r="A188" s="11" t="s">
        <v>315</v>
      </c>
      <c r="B188" s="5" t="s">
        <v>316</v>
      </c>
      <c r="C188" s="6" t="s">
        <v>259</v>
      </c>
      <c r="D188" s="6" t="s">
        <v>15</v>
      </c>
      <c r="E188" s="6" t="s">
        <v>16</v>
      </c>
      <c r="F188" s="6"/>
      <c r="G188" s="6"/>
      <c r="H188" s="6">
        <v>175</v>
      </c>
      <c r="I188" s="6" t="s">
        <v>30</v>
      </c>
      <c r="J188" s="6"/>
      <c r="K188" s="7" t="s">
        <v>249</v>
      </c>
      <c r="L188" s="6" t="s">
        <v>18</v>
      </c>
      <c r="Q188" s="8"/>
    </row>
    <row r="189" spans="1:17" x14ac:dyDescent="0.25">
      <c r="A189" s="11" t="s">
        <v>317</v>
      </c>
      <c r="B189" s="5" t="s">
        <v>318</v>
      </c>
      <c r="C189" s="6" t="s">
        <v>259</v>
      </c>
      <c r="D189" s="6" t="s">
        <v>15</v>
      </c>
      <c r="E189" s="6" t="s">
        <v>29</v>
      </c>
      <c r="F189" s="6"/>
      <c r="G189" s="6"/>
      <c r="H189" s="6">
        <v>184</v>
      </c>
      <c r="I189" s="6" t="s">
        <v>17</v>
      </c>
      <c r="J189" s="6"/>
      <c r="K189" s="7" t="s">
        <v>249</v>
      </c>
      <c r="L189" s="6" t="s">
        <v>44</v>
      </c>
      <c r="Q189" s="8"/>
    </row>
    <row r="190" spans="1:17" x14ac:dyDescent="0.25">
      <c r="A190" s="11" t="s">
        <v>317</v>
      </c>
      <c r="B190" s="10" t="s">
        <v>319</v>
      </c>
      <c r="C190" s="6" t="s">
        <v>259</v>
      </c>
      <c r="D190" s="6" t="s">
        <v>32</v>
      </c>
      <c r="E190" s="6" t="s">
        <v>29</v>
      </c>
      <c r="F190" s="6"/>
      <c r="G190" s="6"/>
      <c r="H190" s="6">
        <v>184</v>
      </c>
      <c r="I190" s="6" t="s">
        <v>17</v>
      </c>
      <c r="J190" s="6"/>
      <c r="K190" s="7" t="s">
        <v>249</v>
      </c>
      <c r="L190" s="6" t="s">
        <v>44</v>
      </c>
      <c r="Q190" s="8"/>
    </row>
    <row r="191" spans="1:17" x14ac:dyDescent="0.25">
      <c r="A191" s="11" t="s">
        <v>320</v>
      </c>
      <c r="B191" s="5" t="s">
        <v>321</v>
      </c>
      <c r="C191" s="6" t="s">
        <v>20</v>
      </c>
      <c r="D191" s="6" t="s">
        <v>15</v>
      </c>
      <c r="E191" s="6" t="s">
        <v>29</v>
      </c>
      <c r="F191" s="6"/>
      <c r="G191" s="6"/>
      <c r="H191" s="6">
        <v>173</v>
      </c>
      <c r="I191" s="6" t="s">
        <v>17</v>
      </c>
      <c r="J191" s="6"/>
      <c r="K191" s="7" t="s">
        <v>249</v>
      </c>
      <c r="L191" s="6" t="s">
        <v>66</v>
      </c>
      <c r="Q191" s="8"/>
    </row>
    <row r="192" spans="1:17" x14ac:dyDescent="0.25">
      <c r="A192" s="11" t="s">
        <v>322</v>
      </c>
      <c r="B192" s="9" t="s">
        <v>323</v>
      </c>
      <c r="C192" s="6" t="s">
        <v>24</v>
      </c>
      <c r="D192" s="6" t="s">
        <v>21</v>
      </c>
      <c r="E192" s="6" t="s">
        <v>29</v>
      </c>
      <c r="F192" s="6"/>
      <c r="G192" s="6"/>
      <c r="H192" s="6">
        <v>149</v>
      </c>
      <c r="I192" s="6" t="s">
        <v>30</v>
      </c>
      <c r="J192" s="6"/>
      <c r="K192" s="7">
        <v>45066</v>
      </c>
      <c r="L192" s="6" t="s">
        <v>48</v>
      </c>
      <c r="Q192" s="8"/>
    </row>
    <row r="193" spans="1:17" x14ac:dyDescent="0.25">
      <c r="A193" s="11" t="s">
        <v>322</v>
      </c>
      <c r="B193" s="5" t="s">
        <v>324</v>
      </c>
      <c r="C193" s="6" t="s">
        <v>20</v>
      </c>
      <c r="D193" s="6" t="s">
        <v>15</v>
      </c>
      <c r="E193" s="6" t="s">
        <v>29</v>
      </c>
      <c r="F193" s="6"/>
      <c r="G193" s="6"/>
      <c r="H193" s="6">
        <v>149</v>
      </c>
      <c r="I193" s="6" t="s">
        <v>30</v>
      </c>
      <c r="J193" s="6"/>
      <c r="K193" s="7">
        <v>45066</v>
      </c>
      <c r="L193" s="6" t="s">
        <v>48</v>
      </c>
      <c r="Q193" s="8"/>
    </row>
    <row r="194" spans="1:17" x14ac:dyDescent="0.25">
      <c r="A194" s="11" t="s">
        <v>325</v>
      </c>
      <c r="B194" s="10" t="s">
        <v>326</v>
      </c>
      <c r="C194" s="6" t="s">
        <v>20</v>
      </c>
      <c r="D194" s="6" t="s">
        <v>32</v>
      </c>
      <c r="E194" s="6" t="s">
        <v>29</v>
      </c>
      <c r="F194" s="6">
        <v>2</v>
      </c>
      <c r="G194" s="6"/>
      <c r="H194" s="6">
        <v>173</v>
      </c>
      <c r="I194" s="6" t="s">
        <v>17</v>
      </c>
      <c r="J194" s="6"/>
      <c r="K194" s="7" t="s">
        <v>249</v>
      </c>
      <c r="L194" s="6" t="s">
        <v>25</v>
      </c>
      <c r="Q194" s="8"/>
    </row>
    <row r="195" spans="1:17" x14ac:dyDescent="0.25">
      <c r="A195" s="11" t="s">
        <v>327</v>
      </c>
      <c r="B195" s="5" t="s">
        <v>328</v>
      </c>
      <c r="C195" s="6" t="s">
        <v>20</v>
      </c>
      <c r="D195" s="6" t="s">
        <v>15</v>
      </c>
      <c r="E195" s="6" t="s">
        <v>16</v>
      </c>
      <c r="F195" s="6"/>
      <c r="G195" s="6"/>
      <c r="H195" s="6">
        <v>169</v>
      </c>
      <c r="I195" s="6" t="s">
        <v>30</v>
      </c>
      <c r="J195" s="6"/>
      <c r="K195" s="7" t="s">
        <v>249</v>
      </c>
      <c r="L195" s="6" t="s">
        <v>44</v>
      </c>
      <c r="Q195" s="8"/>
    </row>
    <row r="196" spans="1:17" x14ac:dyDescent="0.25">
      <c r="A196" s="11" t="s">
        <v>329</v>
      </c>
      <c r="B196" s="9" t="s">
        <v>330</v>
      </c>
      <c r="C196" s="6" t="s">
        <v>24</v>
      </c>
      <c r="D196" s="6" t="s">
        <v>21</v>
      </c>
      <c r="E196" s="6" t="s">
        <v>16</v>
      </c>
      <c r="F196" s="6"/>
      <c r="G196" s="6"/>
      <c r="H196" s="6">
        <v>117</v>
      </c>
      <c r="I196" s="6" t="s">
        <v>30</v>
      </c>
      <c r="J196" s="6">
        <v>2</v>
      </c>
      <c r="K196" s="7" t="s">
        <v>249</v>
      </c>
      <c r="L196" s="6" t="s">
        <v>66</v>
      </c>
      <c r="Q196" s="8"/>
    </row>
    <row r="197" spans="1:17" x14ac:dyDescent="0.25">
      <c r="A197" s="11" t="s">
        <v>331</v>
      </c>
      <c r="B197" s="5" t="s">
        <v>332</v>
      </c>
      <c r="C197" s="6" t="s">
        <v>20</v>
      </c>
      <c r="D197" s="6" t="s">
        <v>15</v>
      </c>
      <c r="E197" s="6" t="s">
        <v>16</v>
      </c>
      <c r="F197" s="6"/>
      <c r="G197" s="6"/>
      <c r="H197" s="6">
        <v>161</v>
      </c>
      <c r="I197" s="6" t="s">
        <v>30</v>
      </c>
      <c r="J197" s="6"/>
      <c r="K197" s="7" t="s">
        <v>249</v>
      </c>
      <c r="L197" s="6" t="s">
        <v>44</v>
      </c>
      <c r="Q197" s="8"/>
    </row>
    <row r="198" spans="1:17" x14ac:dyDescent="0.25">
      <c r="A198" s="11" t="s">
        <v>331</v>
      </c>
      <c r="B198" s="9" t="s">
        <v>333</v>
      </c>
      <c r="C198" s="6" t="s">
        <v>20</v>
      </c>
      <c r="D198" s="6" t="s">
        <v>21</v>
      </c>
      <c r="E198" s="6" t="s">
        <v>16</v>
      </c>
      <c r="F198" s="6"/>
      <c r="G198" s="6"/>
      <c r="H198" s="6">
        <v>161</v>
      </c>
      <c r="I198" s="6" t="s">
        <v>30</v>
      </c>
      <c r="J198" s="6"/>
      <c r="K198" s="7" t="s">
        <v>249</v>
      </c>
      <c r="L198" s="6" t="s">
        <v>44</v>
      </c>
      <c r="Q198" s="8"/>
    </row>
    <row r="199" spans="1:17" x14ac:dyDescent="0.25">
      <c r="A199" s="11" t="s">
        <v>334</v>
      </c>
      <c r="B199" s="9" t="s">
        <v>335</v>
      </c>
      <c r="C199" s="6" t="s">
        <v>14</v>
      </c>
      <c r="D199" s="6" t="s">
        <v>21</v>
      </c>
      <c r="E199" s="6" t="s">
        <v>16</v>
      </c>
      <c r="F199" s="6"/>
      <c r="G199" s="6"/>
      <c r="H199" s="6">
        <v>170</v>
      </c>
      <c r="I199" s="6" t="s">
        <v>17</v>
      </c>
      <c r="J199" s="6"/>
      <c r="K199" s="7" t="s">
        <v>249</v>
      </c>
      <c r="L199" s="6" t="s">
        <v>66</v>
      </c>
      <c r="Q199" s="8"/>
    </row>
    <row r="200" spans="1:17" x14ac:dyDescent="0.25">
      <c r="A200" s="11" t="s">
        <v>336</v>
      </c>
      <c r="B200" s="5" t="s">
        <v>337</v>
      </c>
      <c r="C200" s="6" t="s">
        <v>20</v>
      </c>
      <c r="D200" s="6" t="s">
        <v>15</v>
      </c>
      <c r="E200" s="6" t="s">
        <v>29</v>
      </c>
      <c r="F200" s="6"/>
      <c r="G200" s="6"/>
      <c r="H200" s="6">
        <v>190</v>
      </c>
      <c r="I200" s="6" t="s">
        <v>17</v>
      </c>
      <c r="J200" s="6"/>
      <c r="K200" s="7" t="s">
        <v>249</v>
      </c>
      <c r="L200" s="6" t="s">
        <v>66</v>
      </c>
      <c r="Q200" s="8"/>
    </row>
    <row r="201" spans="1:17" x14ac:dyDescent="0.25">
      <c r="A201" s="11" t="s">
        <v>336</v>
      </c>
      <c r="B201" s="9" t="s">
        <v>338</v>
      </c>
      <c r="C201" s="6" t="s">
        <v>24</v>
      </c>
      <c r="D201" s="6" t="s">
        <v>21</v>
      </c>
      <c r="E201" s="6" t="s">
        <v>29</v>
      </c>
      <c r="F201" s="6"/>
      <c r="G201" s="6"/>
      <c r="H201" s="6">
        <v>190</v>
      </c>
      <c r="I201" s="6" t="s">
        <v>17</v>
      </c>
      <c r="J201" s="6"/>
      <c r="K201" s="7" t="s">
        <v>249</v>
      </c>
      <c r="L201" s="6" t="s">
        <v>66</v>
      </c>
      <c r="Q201" s="8"/>
    </row>
    <row r="202" spans="1:17" x14ac:dyDescent="0.25">
      <c r="A202" s="11" t="s">
        <v>339</v>
      </c>
      <c r="B202" s="9" t="s">
        <v>340</v>
      </c>
      <c r="C202" s="6" t="s">
        <v>24</v>
      </c>
      <c r="D202" s="6" t="s">
        <v>21</v>
      </c>
      <c r="E202" s="6" t="s">
        <v>62</v>
      </c>
      <c r="F202" s="6">
        <v>2</v>
      </c>
      <c r="G202" s="6"/>
      <c r="H202" s="6">
        <v>167</v>
      </c>
      <c r="I202" s="6" t="s">
        <v>30</v>
      </c>
      <c r="J202" s="6"/>
      <c r="K202" s="7" t="s">
        <v>249</v>
      </c>
      <c r="L202" s="6" t="s">
        <v>66</v>
      </c>
      <c r="Q202" s="8"/>
    </row>
    <row r="203" spans="1:17" x14ac:dyDescent="0.25">
      <c r="A203" s="11" t="s">
        <v>341</v>
      </c>
      <c r="B203" s="10" t="s">
        <v>342</v>
      </c>
      <c r="C203" s="6" t="s">
        <v>24</v>
      </c>
      <c r="D203" s="6" t="s">
        <v>32</v>
      </c>
      <c r="E203" s="6" t="s">
        <v>29</v>
      </c>
      <c r="F203" s="6"/>
      <c r="G203" s="6"/>
      <c r="H203" s="6">
        <v>186</v>
      </c>
      <c r="I203" s="6" t="s">
        <v>30</v>
      </c>
      <c r="J203" s="6"/>
      <c r="K203" s="7" t="s">
        <v>249</v>
      </c>
      <c r="L203" s="6" t="s">
        <v>48</v>
      </c>
      <c r="Q203" s="8"/>
    </row>
    <row r="204" spans="1:17" x14ac:dyDescent="0.25">
      <c r="A204" s="11" t="s">
        <v>343</v>
      </c>
      <c r="B204" s="9" t="s">
        <v>344</v>
      </c>
      <c r="C204" s="6" t="s">
        <v>24</v>
      </c>
      <c r="D204" s="6" t="s">
        <v>21</v>
      </c>
      <c r="E204" s="6" t="s">
        <v>16</v>
      </c>
      <c r="F204" s="6"/>
      <c r="G204" s="6"/>
      <c r="H204" s="6">
        <v>168</v>
      </c>
      <c r="I204" s="6" t="s">
        <v>17</v>
      </c>
      <c r="J204" s="6"/>
      <c r="K204" s="7" t="s">
        <v>249</v>
      </c>
      <c r="L204" s="6" t="s">
        <v>18</v>
      </c>
      <c r="Q204" s="8"/>
    </row>
    <row r="205" spans="1:17" x14ac:dyDescent="0.25">
      <c r="A205" s="11" t="s">
        <v>343</v>
      </c>
      <c r="B205" s="5" t="s">
        <v>345</v>
      </c>
      <c r="C205" s="6" t="s">
        <v>20</v>
      </c>
      <c r="D205" s="6" t="s">
        <v>15</v>
      </c>
      <c r="E205" s="6" t="s">
        <v>16</v>
      </c>
      <c r="F205" s="6"/>
      <c r="G205" s="6"/>
      <c r="H205" s="6">
        <v>168</v>
      </c>
      <c r="I205" s="6" t="s">
        <v>17</v>
      </c>
      <c r="J205" s="6"/>
      <c r="K205" s="7" t="s">
        <v>249</v>
      </c>
      <c r="L205" s="6" t="s">
        <v>18</v>
      </c>
      <c r="Q205" s="8"/>
    </row>
    <row r="206" spans="1:17" x14ac:dyDescent="0.25">
      <c r="A206" s="11" t="s">
        <v>346</v>
      </c>
      <c r="B206" s="10" t="s">
        <v>347</v>
      </c>
      <c r="C206" s="6" t="s">
        <v>24</v>
      </c>
      <c r="D206" s="6" t="s">
        <v>32</v>
      </c>
      <c r="E206" s="6" t="s">
        <v>16</v>
      </c>
      <c r="F206" s="6">
        <v>2</v>
      </c>
      <c r="G206" s="6"/>
      <c r="H206" s="6">
        <v>160</v>
      </c>
      <c r="I206" s="6" t="s">
        <v>30</v>
      </c>
      <c r="J206" s="6"/>
      <c r="K206" s="7" t="s">
        <v>249</v>
      </c>
      <c r="L206" s="6" t="s">
        <v>18</v>
      </c>
      <c r="Q206" s="8"/>
    </row>
    <row r="207" spans="1:17" x14ac:dyDescent="0.25">
      <c r="A207" s="11" t="s">
        <v>348</v>
      </c>
      <c r="B207" s="10" t="s">
        <v>349</v>
      </c>
      <c r="C207" s="6" t="s">
        <v>20</v>
      </c>
      <c r="D207" s="6" t="s">
        <v>32</v>
      </c>
      <c r="E207" s="6" t="s">
        <v>29</v>
      </c>
      <c r="F207" s="6"/>
      <c r="G207" s="6"/>
      <c r="H207" s="6">
        <v>161</v>
      </c>
      <c r="I207" s="6" t="s">
        <v>30</v>
      </c>
      <c r="J207" s="6"/>
      <c r="K207" s="7" t="s">
        <v>249</v>
      </c>
      <c r="L207" s="6" t="s">
        <v>52</v>
      </c>
      <c r="Q207" s="8"/>
    </row>
    <row r="208" spans="1:17" x14ac:dyDescent="0.25">
      <c r="A208" s="11" t="s">
        <v>348</v>
      </c>
      <c r="B208" s="5" t="s">
        <v>350</v>
      </c>
      <c r="C208" s="6" t="s">
        <v>24</v>
      </c>
      <c r="D208" s="6" t="s">
        <v>15</v>
      </c>
      <c r="E208" s="6" t="s">
        <v>29</v>
      </c>
      <c r="F208" s="6"/>
      <c r="G208" s="6"/>
      <c r="H208" s="6">
        <v>161</v>
      </c>
      <c r="I208" s="6" t="s">
        <v>30</v>
      </c>
      <c r="J208" s="6"/>
      <c r="K208" s="7" t="s">
        <v>249</v>
      </c>
      <c r="L208" s="6" t="s">
        <v>52</v>
      </c>
      <c r="Q208" s="8"/>
    </row>
    <row r="209" spans="1:17" x14ac:dyDescent="0.25">
      <c r="A209" s="11" t="s">
        <v>351</v>
      </c>
      <c r="B209" s="5" t="s">
        <v>352</v>
      </c>
      <c r="C209" s="6" t="s">
        <v>20</v>
      </c>
      <c r="D209" s="6" t="s">
        <v>15</v>
      </c>
      <c r="E209" s="6" t="s">
        <v>62</v>
      </c>
      <c r="F209" s="6"/>
      <c r="G209" s="6"/>
      <c r="H209" s="6">
        <v>172</v>
      </c>
      <c r="I209" s="6" t="s">
        <v>30</v>
      </c>
      <c r="J209" s="6"/>
      <c r="K209" s="7">
        <v>45167</v>
      </c>
      <c r="L209" s="6" t="s">
        <v>44</v>
      </c>
      <c r="Q209" s="8"/>
    </row>
    <row r="210" spans="1:17" x14ac:dyDescent="0.25">
      <c r="A210" s="11" t="s">
        <v>353</v>
      </c>
      <c r="B210" s="10" t="s">
        <v>354</v>
      </c>
      <c r="C210" s="6" t="s">
        <v>24</v>
      </c>
      <c r="D210" s="6" t="s">
        <v>32</v>
      </c>
      <c r="E210" s="6" t="s">
        <v>16</v>
      </c>
      <c r="F210" s="6">
        <v>2</v>
      </c>
      <c r="G210" s="6"/>
      <c r="H210" s="6">
        <v>165</v>
      </c>
      <c r="I210" s="6" t="s">
        <v>30</v>
      </c>
      <c r="J210" s="6"/>
      <c r="K210" s="7" t="s">
        <v>249</v>
      </c>
      <c r="L210" s="6" t="s">
        <v>48</v>
      </c>
      <c r="Q210" s="8"/>
    </row>
    <row r="211" spans="1:17" x14ac:dyDescent="0.25">
      <c r="A211" s="11" t="s">
        <v>355</v>
      </c>
      <c r="B211" s="10" t="s">
        <v>356</v>
      </c>
      <c r="C211" s="6" t="s">
        <v>20</v>
      </c>
      <c r="D211" s="6" t="s">
        <v>32</v>
      </c>
      <c r="E211" s="6" t="s">
        <v>29</v>
      </c>
      <c r="F211" s="6"/>
      <c r="G211" s="6"/>
      <c r="H211" s="6">
        <v>183</v>
      </c>
      <c r="I211" s="6" t="s">
        <v>17</v>
      </c>
      <c r="J211" s="6"/>
      <c r="K211" s="7" t="s">
        <v>249</v>
      </c>
      <c r="L211" s="6" t="s">
        <v>25</v>
      </c>
      <c r="Q211" s="8"/>
    </row>
    <row r="212" spans="1:17" x14ac:dyDescent="0.25">
      <c r="A212" s="11" t="s">
        <v>355</v>
      </c>
      <c r="B212" s="9" t="s">
        <v>357</v>
      </c>
      <c r="C212" s="6" t="s">
        <v>20</v>
      </c>
      <c r="D212" s="6" t="s">
        <v>21</v>
      </c>
      <c r="E212" s="6" t="s">
        <v>29</v>
      </c>
      <c r="F212" s="6"/>
      <c r="G212" s="6"/>
      <c r="H212" s="6">
        <v>183</v>
      </c>
      <c r="I212" s="6" t="s">
        <v>17</v>
      </c>
      <c r="J212" s="6"/>
      <c r="K212" s="7" t="s">
        <v>249</v>
      </c>
      <c r="L212" s="6" t="s">
        <v>25</v>
      </c>
      <c r="Q212" s="8"/>
    </row>
    <row r="213" spans="1:17" x14ac:dyDescent="0.25">
      <c r="A213" s="11" t="s">
        <v>358</v>
      </c>
      <c r="B213" s="5" t="s">
        <v>359</v>
      </c>
      <c r="C213" s="6" t="s">
        <v>24</v>
      </c>
      <c r="D213" s="6" t="s">
        <v>15</v>
      </c>
      <c r="E213" s="6" t="s">
        <v>29</v>
      </c>
      <c r="F213" s="6"/>
      <c r="G213" s="6"/>
      <c r="H213" s="6">
        <v>190</v>
      </c>
      <c r="I213" s="6" t="s">
        <v>17</v>
      </c>
      <c r="J213" s="6"/>
      <c r="K213" s="7" t="s">
        <v>249</v>
      </c>
      <c r="L213" s="6" t="s">
        <v>25</v>
      </c>
      <c r="Q213" s="8"/>
    </row>
    <row r="214" spans="1:17" x14ac:dyDescent="0.25">
      <c r="A214" s="11" t="s">
        <v>360</v>
      </c>
      <c r="B214" s="5" t="s">
        <v>361</v>
      </c>
      <c r="C214" s="6" t="s">
        <v>14</v>
      </c>
      <c r="D214" s="6" t="s">
        <v>15</v>
      </c>
      <c r="E214" s="6" t="s">
        <v>16</v>
      </c>
      <c r="F214" s="6"/>
      <c r="G214" s="6"/>
      <c r="H214" s="6">
        <v>163</v>
      </c>
      <c r="I214" s="6" t="s">
        <v>30</v>
      </c>
      <c r="J214" s="6"/>
      <c r="K214" s="7" t="s">
        <v>249</v>
      </c>
      <c r="L214" s="6" t="s">
        <v>66</v>
      </c>
      <c r="Q214" s="8"/>
    </row>
    <row r="215" spans="1:17" x14ac:dyDescent="0.25">
      <c r="A215" s="11" t="s">
        <v>362</v>
      </c>
      <c r="B215" s="5" t="s">
        <v>363</v>
      </c>
      <c r="C215" s="6" t="s">
        <v>259</v>
      </c>
      <c r="D215" s="6" t="s">
        <v>15</v>
      </c>
      <c r="E215" s="6" t="s">
        <v>29</v>
      </c>
      <c r="F215" s="6"/>
      <c r="G215" s="6"/>
      <c r="H215" s="6">
        <v>164</v>
      </c>
      <c r="I215" s="6" t="s">
        <v>17</v>
      </c>
      <c r="J215" s="6"/>
      <c r="K215" s="7" t="s">
        <v>249</v>
      </c>
      <c r="L215" s="6" t="s">
        <v>44</v>
      </c>
      <c r="Q215" s="8"/>
    </row>
    <row r="216" spans="1:17" x14ac:dyDescent="0.25">
      <c r="A216" s="11" t="s">
        <v>364</v>
      </c>
      <c r="B216" s="5" t="s">
        <v>365</v>
      </c>
      <c r="C216" s="6" t="s">
        <v>259</v>
      </c>
      <c r="D216" s="6" t="s">
        <v>15</v>
      </c>
      <c r="E216" s="6" t="s">
        <v>29</v>
      </c>
      <c r="F216" s="6"/>
      <c r="G216" s="6"/>
      <c r="H216" s="6">
        <v>180</v>
      </c>
      <c r="I216" s="6" t="s">
        <v>17</v>
      </c>
      <c r="J216" s="6">
        <v>70</v>
      </c>
      <c r="K216" s="7">
        <v>45175</v>
      </c>
      <c r="L216" s="6" t="s">
        <v>66</v>
      </c>
      <c r="Q216" s="8"/>
    </row>
    <row r="217" spans="1:17" x14ac:dyDescent="0.25">
      <c r="A217" s="11" t="s">
        <v>366</v>
      </c>
      <c r="B217" s="9" t="s">
        <v>367</v>
      </c>
      <c r="C217" s="6" t="s">
        <v>20</v>
      </c>
      <c r="D217" s="6" t="s">
        <v>21</v>
      </c>
      <c r="E217" s="6" t="s">
        <v>29</v>
      </c>
      <c r="F217" s="6"/>
      <c r="G217" s="6"/>
      <c r="H217" s="6">
        <v>131</v>
      </c>
      <c r="I217" s="6" t="s">
        <v>17</v>
      </c>
      <c r="J217" s="6"/>
      <c r="K217" s="7" t="s">
        <v>249</v>
      </c>
      <c r="L217" s="6" t="s">
        <v>66</v>
      </c>
      <c r="Q217" s="8"/>
    </row>
    <row r="218" spans="1:17" x14ac:dyDescent="0.25">
      <c r="A218" s="11" t="s">
        <v>368</v>
      </c>
      <c r="B218" s="5" t="s">
        <v>369</v>
      </c>
      <c r="C218" s="6" t="s">
        <v>259</v>
      </c>
      <c r="D218" s="6" t="s">
        <v>15</v>
      </c>
      <c r="E218" s="6" t="s">
        <v>16</v>
      </c>
      <c r="F218" s="6"/>
      <c r="G218" s="6"/>
      <c r="H218" s="6">
        <v>173</v>
      </c>
      <c r="I218" s="6" t="s">
        <v>30</v>
      </c>
      <c r="J218" s="6"/>
      <c r="K218" s="7"/>
      <c r="L218" s="6" t="s">
        <v>44</v>
      </c>
      <c r="Q218" s="8"/>
    </row>
    <row r="219" spans="1:17" x14ac:dyDescent="0.25">
      <c r="A219" s="11" t="s">
        <v>370</v>
      </c>
      <c r="B219" s="10" t="s">
        <v>371</v>
      </c>
      <c r="C219" s="6" t="s">
        <v>14</v>
      </c>
      <c r="D219" s="6" t="s">
        <v>32</v>
      </c>
      <c r="E219" s="6" t="s">
        <v>16</v>
      </c>
      <c r="F219" s="6"/>
      <c r="G219" s="6"/>
      <c r="H219" s="6">
        <v>129</v>
      </c>
      <c r="I219" s="6" t="s">
        <v>17</v>
      </c>
      <c r="J219" s="6"/>
      <c r="K219" s="7" t="s">
        <v>249</v>
      </c>
      <c r="L219" s="6" t="s">
        <v>25</v>
      </c>
      <c r="Q219" s="8"/>
    </row>
    <row r="220" spans="1:17" x14ac:dyDescent="0.25">
      <c r="A220" s="11" t="s">
        <v>372</v>
      </c>
      <c r="B220" s="5" t="s">
        <v>373</v>
      </c>
      <c r="C220" s="6" t="s">
        <v>24</v>
      </c>
      <c r="D220" s="6" t="s">
        <v>15</v>
      </c>
      <c r="E220" s="6" t="s">
        <v>62</v>
      </c>
      <c r="F220" s="6"/>
      <c r="G220" s="6"/>
      <c r="H220" s="6">
        <v>179</v>
      </c>
      <c r="I220" s="6" t="s">
        <v>30</v>
      </c>
      <c r="J220" s="6"/>
      <c r="K220" s="7" t="s">
        <v>249</v>
      </c>
      <c r="L220" s="6" t="s">
        <v>52</v>
      </c>
      <c r="Q220" s="8"/>
    </row>
    <row r="221" spans="1:17" x14ac:dyDescent="0.25">
      <c r="A221" s="11" t="s">
        <v>374</v>
      </c>
      <c r="B221" s="10" t="s">
        <v>375</v>
      </c>
      <c r="C221" s="6" t="s">
        <v>20</v>
      </c>
      <c r="D221" s="6" t="s">
        <v>32</v>
      </c>
      <c r="E221" s="6" t="s">
        <v>29</v>
      </c>
      <c r="F221" s="6"/>
      <c r="G221" s="6"/>
      <c r="H221" s="6">
        <v>185</v>
      </c>
      <c r="I221" s="6" t="s">
        <v>17</v>
      </c>
      <c r="J221" s="6"/>
      <c r="K221" s="7">
        <v>45090</v>
      </c>
      <c r="L221" s="6" t="s">
        <v>52</v>
      </c>
      <c r="Q221" s="8"/>
    </row>
    <row r="222" spans="1:17" x14ac:dyDescent="0.25">
      <c r="A222" s="11" t="s">
        <v>374</v>
      </c>
      <c r="B222" s="9" t="s">
        <v>376</v>
      </c>
      <c r="C222" s="6" t="s">
        <v>24</v>
      </c>
      <c r="D222" s="6" t="s">
        <v>21</v>
      </c>
      <c r="E222" s="6" t="s">
        <v>29</v>
      </c>
      <c r="F222" s="6"/>
      <c r="G222" s="6"/>
      <c r="H222" s="6">
        <v>185</v>
      </c>
      <c r="I222" s="6" t="s">
        <v>17</v>
      </c>
      <c r="J222" s="6"/>
      <c r="K222" s="7">
        <v>45090</v>
      </c>
      <c r="L222" s="6" t="s">
        <v>52</v>
      </c>
      <c r="Q222" s="8"/>
    </row>
    <row r="223" spans="1:17" x14ac:dyDescent="0.25">
      <c r="A223" s="11" t="s">
        <v>377</v>
      </c>
      <c r="B223" s="5" t="s">
        <v>378</v>
      </c>
      <c r="C223" s="6" t="s">
        <v>20</v>
      </c>
      <c r="D223" s="6" t="s">
        <v>15</v>
      </c>
      <c r="E223" s="6" t="s">
        <v>29</v>
      </c>
      <c r="F223" s="6"/>
      <c r="G223" s="6"/>
      <c r="H223" s="6">
        <v>164</v>
      </c>
      <c r="I223" s="6" t="s">
        <v>30</v>
      </c>
      <c r="J223" s="6"/>
      <c r="K223" s="7" t="s">
        <v>249</v>
      </c>
      <c r="L223" s="6" t="s">
        <v>18</v>
      </c>
      <c r="Q223" s="8"/>
    </row>
    <row r="224" spans="1:17" x14ac:dyDescent="0.25">
      <c r="A224" s="11" t="s">
        <v>377</v>
      </c>
      <c r="B224" s="10" t="s">
        <v>379</v>
      </c>
      <c r="C224" s="6" t="s">
        <v>24</v>
      </c>
      <c r="D224" s="6" t="s">
        <v>32</v>
      </c>
      <c r="E224" s="6" t="s">
        <v>29</v>
      </c>
      <c r="F224" s="6"/>
      <c r="G224" s="6"/>
      <c r="H224" s="6">
        <v>164</v>
      </c>
      <c r="I224" s="6" t="s">
        <v>30</v>
      </c>
      <c r="J224" s="6"/>
      <c r="K224" s="7" t="s">
        <v>249</v>
      </c>
      <c r="L224" s="6" t="s">
        <v>18</v>
      </c>
      <c r="Q224" s="8"/>
    </row>
    <row r="225" spans="1:17" x14ac:dyDescent="0.25">
      <c r="A225" s="11" t="s">
        <v>380</v>
      </c>
      <c r="B225" s="10" t="s">
        <v>381</v>
      </c>
      <c r="C225" s="6" t="s">
        <v>20</v>
      </c>
      <c r="D225" s="6" t="s">
        <v>32</v>
      </c>
      <c r="E225" s="6" t="s">
        <v>16</v>
      </c>
      <c r="F225" s="6"/>
      <c r="G225" s="6"/>
      <c r="H225" s="6">
        <v>128</v>
      </c>
      <c r="I225" s="6" t="s">
        <v>30</v>
      </c>
      <c r="J225" s="6"/>
      <c r="K225" s="7">
        <v>45235</v>
      </c>
      <c r="L225" s="6" t="s">
        <v>48</v>
      </c>
      <c r="Q225" s="8"/>
    </row>
    <row r="226" spans="1:17" x14ac:dyDescent="0.25">
      <c r="A226" s="11" t="s">
        <v>380</v>
      </c>
      <c r="B226" s="5" t="s">
        <v>382</v>
      </c>
      <c r="C226" s="6" t="s">
        <v>24</v>
      </c>
      <c r="D226" s="6" t="s">
        <v>15</v>
      </c>
      <c r="E226" s="6" t="s">
        <v>16</v>
      </c>
      <c r="F226" s="6"/>
      <c r="G226" s="6"/>
      <c r="H226" s="6">
        <v>128</v>
      </c>
      <c r="I226" s="6" t="s">
        <v>30</v>
      </c>
      <c r="J226" s="6"/>
      <c r="K226" s="7">
        <v>45235</v>
      </c>
      <c r="L226" s="6" t="s">
        <v>48</v>
      </c>
      <c r="Q226" s="8"/>
    </row>
    <row r="227" spans="1:17" x14ac:dyDescent="0.25">
      <c r="A227" s="11" t="s">
        <v>383</v>
      </c>
      <c r="B227" s="9" t="s">
        <v>384</v>
      </c>
      <c r="C227" s="6" t="s">
        <v>20</v>
      </c>
      <c r="D227" s="6" t="s">
        <v>21</v>
      </c>
      <c r="E227" s="6" t="s">
        <v>62</v>
      </c>
      <c r="F227" s="6"/>
      <c r="G227" s="6"/>
      <c r="H227" s="6">
        <v>155</v>
      </c>
      <c r="I227" s="6" t="s">
        <v>30</v>
      </c>
      <c r="J227" s="6"/>
      <c r="K227" s="7" t="s">
        <v>249</v>
      </c>
      <c r="L227" s="6" t="s">
        <v>44</v>
      </c>
      <c r="Q227" s="8"/>
    </row>
    <row r="228" spans="1:17" x14ac:dyDescent="0.25">
      <c r="A228" s="11" t="s">
        <v>383</v>
      </c>
      <c r="B228" s="5" t="s">
        <v>385</v>
      </c>
      <c r="C228" s="6" t="s">
        <v>20</v>
      </c>
      <c r="D228" s="6" t="s">
        <v>15</v>
      </c>
      <c r="E228" s="6" t="s">
        <v>62</v>
      </c>
      <c r="F228" s="6"/>
      <c r="G228" s="6"/>
      <c r="H228" s="6">
        <v>155</v>
      </c>
      <c r="I228" s="6" t="s">
        <v>30</v>
      </c>
      <c r="J228" s="6"/>
      <c r="K228" s="7" t="s">
        <v>249</v>
      </c>
      <c r="L228" s="6" t="s">
        <v>44</v>
      </c>
      <c r="Q228" s="8"/>
    </row>
    <row r="229" spans="1:17" x14ac:dyDescent="0.25">
      <c r="A229" s="11" t="s">
        <v>386</v>
      </c>
      <c r="B229" s="9" t="s">
        <v>387</v>
      </c>
      <c r="C229" s="6" t="s">
        <v>20</v>
      </c>
      <c r="D229" s="6" t="s">
        <v>21</v>
      </c>
      <c r="E229" s="6" t="s">
        <v>16</v>
      </c>
      <c r="F229" s="6"/>
      <c r="G229" s="6"/>
      <c r="H229" s="6">
        <v>146</v>
      </c>
      <c r="I229" s="6" t="s">
        <v>17</v>
      </c>
      <c r="J229" s="6"/>
      <c r="K229" s="7" t="s">
        <v>249</v>
      </c>
      <c r="L229" s="6" t="s">
        <v>44</v>
      </c>
      <c r="Q229" s="8"/>
    </row>
    <row r="230" spans="1:17" x14ac:dyDescent="0.25">
      <c r="A230" s="11" t="s">
        <v>386</v>
      </c>
      <c r="B230" s="5" t="s">
        <v>388</v>
      </c>
      <c r="C230" s="6" t="s">
        <v>20</v>
      </c>
      <c r="D230" s="6" t="s">
        <v>15</v>
      </c>
      <c r="E230" s="6" t="s">
        <v>16</v>
      </c>
      <c r="F230" s="6"/>
      <c r="G230" s="6"/>
      <c r="H230" s="6">
        <v>146</v>
      </c>
      <c r="I230" s="6" t="s">
        <v>17</v>
      </c>
      <c r="J230" s="6"/>
      <c r="K230" s="7" t="s">
        <v>249</v>
      </c>
      <c r="L230" s="6" t="s">
        <v>44</v>
      </c>
      <c r="Q230" s="8"/>
    </row>
    <row r="231" spans="1:17" x14ac:dyDescent="0.25">
      <c r="A231" s="11" t="s">
        <v>389</v>
      </c>
      <c r="B231" s="9" t="s">
        <v>390</v>
      </c>
      <c r="C231" s="6" t="s">
        <v>20</v>
      </c>
      <c r="D231" s="6" t="s">
        <v>21</v>
      </c>
      <c r="E231" s="6" t="s">
        <v>16</v>
      </c>
      <c r="F231" s="6"/>
      <c r="G231" s="6"/>
      <c r="H231" s="6">
        <v>186</v>
      </c>
      <c r="I231" s="6" t="s">
        <v>17</v>
      </c>
      <c r="J231" s="6"/>
      <c r="K231" s="7" t="s">
        <v>249</v>
      </c>
      <c r="L231" s="6" t="s">
        <v>52</v>
      </c>
      <c r="Q231" s="8"/>
    </row>
    <row r="232" spans="1:17" x14ac:dyDescent="0.25">
      <c r="A232" s="11" t="s">
        <v>391</v>
      </c>
      <c r="B232" s="10" t="s">
        <v>392</v>
      </c>
      <c r="C232" s="6" t="s">
        <v>20</v>
      </c>
      <c r="D232" s="6" t="s">
        <v>32</v>
      </c>
      <c r="E232" s="6" t="s">
        <v>29</v>
      </c>
      <c r="F232" s="6"/>
      <c r="G232" s="6"/>
      <c r="H232" s="6">
        <v>188</v>
      </c>
      <c r="I232" s="6" t="s">
        <v>17</v>
      </c>
      <c r="J232" s="6"/>
      <c r="K232" s="7" t="s">
        <v>249</v>
      </c>
      <c r="L232" s="6" t="s">
        <v>66</v>
      </c>
      <c r="Q232" s="8"/>
    </row>
    <row r="233" spans="1:17" x14ac:dyDescent="0.25">
      <c r="A233" s="11" t="s">
        <v>393</v>
      </c>
      <c r="B233" s="5" t="s">
        <v>394</v>
      </c>
      <c r="C233" s="6" t="s">
        <v>259</v>
      </c>
      <c r="D233" s="6" t="s">
        <v>15</v>
      </c>
      <c r="E233" s="6" t="s">
        <v>29</v>
      </c>
      <c r="F233" s="6">
        <v>2</v>
      </c>
      <c r="G233" s="6"/>
      <c r="H233" s="6">
        <v>186</v>
      </c>
      <c r="I233" s="6" t="s">
        <v>17</v>
      </c>
      <c r="J233" s="6"/>
      <c r="K233" s="7" t="s">
        <v>249</v>
      </c>
      <c r="L233" s="6" t="s">
        <v>25</v>
      </c>
      <c r="Q233" s="8"/>
    </row>
    <row r="234" spans="1:17" x14ac:dyDescent="0.25">
      <c r="A234" s="11" t="s">
        <v>393</v>
      </c>
      <c r="B234" s="10" t="s">
        <v>395</v>
      </c>
      <c r="C234" s="6" t="s">
        <v>259</v>
      </c>
      <c r="D234" s="6" t="s">
        <v>32</v>
      </c>
      <c r="E234" s="6" t="s">
        <v>29</v>
      </c>
      <c r="F234" s="6">
        <v>6</v>
      </c>
      <c r="G234" s="6"/>
      <c r="H234" s="6">
        <v>186</v>
      </c>
      <c r="I234" s="6" t="s">
        <v>17</v>
      </c>
      <c r="J234" s="6"/>
      <c r="K234" s="7" t="s">
        <v>249</v>
      </c>
      <c r="L234" s="6" t="s">
        <v>18</v>
      </c>
      <c r="Q234" s="8"/>
    </row>
    <row r="235" spans="1:17" x14ac:dyDescent="0.25">
      <c r="A235" s="11" t="s">
        <v>396</v>
      </c>
      <c r="B235" s="10" t="s">
        <v>397</v>
      </c>
      <c r="C235" s="6" t="s">
        <v>259</v>
      </c>
      <c r="D235" s="6" t="s">
        <v>32</v>
      </c>
      <c r="E235" s="6" t="s">
        <v>62</v>
      </c>
      <c r="F235" s="6"/>
      <c r="G235" s="6"/>
      <c r="H235" s="6">
        <v>157</v>
      </c>
      <c r="I235" s="6" t="s">
        <v>30</v>
      </c>
      <c r="J235" s="6"/>
      <c r="K235" s="7" t="s">
        <v>249</v>
      </c>
      <c r="L235" s="6" t="s">
        <v>25</v>
      </c>
      <c r="Q235" s="8"/>
    </row>
    <row r="236" spans="1:17" x14ac:dyDescent="0.25">
      <c r="A236" s="11" t="s">
        <v>396</v>
      </c>
      <c r="B236" s="9" t="s">
        <v>398</v>
      </c>
      <c r="C236" s="6" t="s">
        <v>259</v>
      </c>
      <c r="D236" s="6" t="s">
        <v>21</v>
      </c>
      <c r="E236" s="6" t="s">
        <v>62</v>
      </c>
      <c r="F236" s="6"/>
      <c r="G236" s="6"/>
      <c r="H236" s="6">
        <v>157</v>
      </c>
      <c r="I236" s="6" t="s">
        <v>30</v>
      </c>
      <c r="J236" s="6"/>
      <c r="K236" s="7" t="s">
        <v>249</v>
      </c>
      <c r="L236" s="6" t="s">
        <v>25</v>
      </c>
      <c r="Q236" s="8"/>
    </row>
    <row r="237" spans="1:17" x14ac:dyDescent="0.25">
      <c r="A237" s="11" t="s">
        <v>399</v>
      </c>
      <c r="B237" s="10" t="s">
        <v>400</v>
      </c>
      <c r="C237" s="6" t="s">
        <v>20</v>
      </c>
      <c r="D237" s="6" t="s">
        <v>32</v>
      </c>
      <c r="E237" s="6" t="s">
        <v>62</v>
      </c>
      <c r="F237" s="6"/>
      <c r="G237" s="6"/>
      <c r="H237" s="6">
        <v>155</v>
      </c>
      <c r="I237" s="6" t="s">
        <v>17</v>
      </c>
      <c r="J237" s="6"/>
      <c r="K237" s="7" t="s">
        <v>249</v>
      </c>
      <c r="L237" s="6" t="s">
        <v>48</v>
      </c>
      <c r="Q237" s="8"/>
    </row>
    <row r="238" spans="1:17" x14ac:dyDescent="0.25">
      <c r="A238" s="11" t="s">
        <v>399</v>
      </c>
      <c r="B238" s="9" t="s">
        <v>401</v>
      </c>
      <c r="C238" s="6" t="s">
        <v>20</v>
      </c>
      <c r="D238" s="6" t="s">
        <v>21</v>
      </c>
      <c r="E238" s="6" t="s">
        <v>62</v>
      </c>
      <c r="F238" s="6"/>
      <c r="G238" s="6"/>
      <c r="H238" s="6">
        <v>155</v>
      </c>
      <c r="I238" s="6" t="s">
        <v>17</v>
      </c>
      <c r="J238" s="6"/>
      <c r="K238" s="7" t="s">
        <v>249</v>
      </c>
      <c r="L238" s="6" t="s">
        <v>48</v>
      </c>
      <c r="Q238" s="8"/>
    </row>
    <row r="239" spans="1:17" x14ac:dyDescent="0.25">
      <c r="A239" s="11" t="s">
        <v>402</v>
      </c>
      <c r="B239" s="9" t="s">
        <v>403</v>
      </c>
      <c r="C239" s="6" t="s">
        <v>24</v>
      </c>
      <c r="D239" s="6" t="s">
        <v>21</v>
      </c>
      <c r="E239" s="6" t="s">
        <v>62</v>
      </c>
      <c r="F239" s="6"/>
      <c r="G239" s="6"/>
      <c r="H239" s="6">
        <v>160</v>
      </c>
      <c r="I239" s="6" t="s">
        <v>30</v>
      </c>
      <c r="J239" s="6"/>
      <c r="K239" s="7" t="s">
        <v>249</v>
      </c>
      <c r="L239" s="6" t="s">
        <v>52</v>
      </c>
      <c r="Q239" s="8"/>
    </row>
    <row r="240" spans="1:17" x14ac:dyDescent="0.25">
      <c r="A240" s="11" t="s">
        <v>404</v>
      </c>
      <c r="B240" s="5" t="s">
        <v>405</v>
      </c>
      <c r="C240" s="6" t="s">
        <v>20</v>
      </c>
      <c r="D240" s="6" t="s">
        <v>15</v>
      </c>
      <c r="E240" s="6" t="s">
        <v>16</v>
      </c>
      <c r="F240" s="6"/>
      <c r="G240" s="6"/>
      <c r="H240" s="6">
        <v>169</v>
      </c>
      <c r="I240" s="6" t="s">
        <v>30</v>
      </c>
      <c r="J240" s="6"/>
      <c r="K240" s="7" t="s">
        <v>249</v>
      </c>
      <c r="L240" s="6" t="s">
        <v>44</v>
      </c>
      <c r="Q240" s="8"/>
    </row>
    <row r="241" spans="1:17" x14ac:dyDescent="0.25">
      <c r="A241" s="11" t="s">
        <v>406</v>
      </c>
      <c r="B241" s="10" t="s">
        <v>407</v>
      </c>
      <c r="C241" s="6" t="s">
        <v>20</v>
      </c>
      <c r="D241" s="6" t="s">
        <v>32</v>
      </c>
      <c r="E241" s="6" t="s">
        <v>62</v>
      </c>
      <c r="F241" s="6"/>
      <c r="G241" s="6" t="s">
        <v>146</v>
      </c>
      <c r="H241" s="6">
        <v>134</v>
      </c>
      <c r="I241" s="6" t="s">
        <v>30</v>
      </c>
      <c r="J241" s="6"/>
      <c r="K241" s="7"/>
      <c r="L241" s="6" t="s">
        <v>18</v>
      </c>
      <c r="Q241" s="8"/>
    </row>
    <row r="242" spans="1:17" x14ac:dyDescent="0.25">
      <c r="A242" s="11" t="s">
        <v>406</v>
      </c>
      <c r="B242" s="5" t="s">
        <v>408</v>
      </c>
      <c r="C242" s="6" t="s">
        <v>20</v>
      </c>
      <c r="D242" s="6" t="s">
        <v>15</v>
      </c>
      <c r="E242" s="6" t="s">
        <v>62</v>
      </c>
      <c r="F242" s="6"/>
      <c r="G242" s="6" t="s">
        <v>146</v>
      </c>
      <c r="H242" s="6">
        <v>134</v>
      </c>
      <c r="I242" s="6" t="s">
        <v>30</v>
      </c>
      <c r="J242" s="6"/>
      <c r="K242" s="7"/>
      <c r="L242" s="6" t="s">
        <v>18</v>
      </c>
      <c r="Q242" s="8"/>
    </row>
    <row r="243" spans="1:17" x14ac:dyDescent="0.25">
      <c r="A243" s="11" t="s">
        <v>409</v>
      </c>
      <c r="B243" s="5" t="s">
        <v>410</v>
      </c>
      <c r="C243" s="6" t="s">
        <v>20</v>
      </c>
      <c r="D243" s="6" t="s">
        <v>15</v>
      </c>
      <c r="E243" s="6" t="s">
        <v>62</v>
      </c>
      <c r="F243" s="6">
        <v>2</v>
      </c>
      <c r="G243" s="6"/>
      <c r="H243" s="6">
        <v>188</v>
      </c>
      <c r="I243" s="6" t="s">
        <v>17</v>
      </c>
      <c r="J243" s="6"/>
      <c r="K243" s="7" t="s">
        <v>249</v>
      </c>
      <c r="L243" s="6" t="s">
        <v>66</v>
      </c>
      <c r="Q243" s="8"/>
    </row>
    <row r="244" spans="1:17" x14ac:dyDescent="0.25">
      <c r="A244" s="11" t="s">
        <v>409</v>
      </c>
      <c r="B244" s="10" t="s">
        <v>411</v>
      </c>
      <c r="C244" s="6" t="s">
        <v>20</v>
      </c>
      <c r="D244" s="6" t="s">
        <v>32</v>
      </c>
      <c r="E244" s="6" t="s">
        <v>62</v>
      </c>
      <c r="F244" s="6">
        <v>2</v>
      </c>
      <c r="G244" s="6"/>
      <c r="H244" s="6">
        <v>188</v>
      </c>
      <c r="I244" s="6" t="s">
        <v>17</v>
      </c>
      <c r="J244" s="6"/>
      <c r="K244" s="7" t="s">
        <v>249</v>
      </c>
      <c r="L244" s="6" t="s">
        <v>66</v>
      </c>
      <c r="Q244" s="8"/>
    </row>
    <row r="245" spans="1:17" x14ac:dyDescent="0.25">
      <c r="A245" s="11" t="s">
        <v>412</v>
      </c>
      <c r="B245" s="9" t="s">
        <v>413</v>
      </c>
      <c r="C245" s="6" t="s">
        <v>259</v>
      </c>
      <c r="D245" s="6" t="s">
        <v>21</v>
      </c>
      <c r="E245" s="6" t="s">
        <v>16</v>
      </c>
      <c r="F245" s="6"/>
      <c r="G245" s="6"/>
      <c r="H245" s="6">
        <v>163</v>
      </c>
      <c r="I245" s="6" t="s">
        <v>30</v>
      </c>
      <c r="J245" s="6"/>
      <c r="K245" s="7" t="s">
        <v>249</v>
      </c>
      <c r="L245" s="6" t="s">
        <v>44</v>
      </c>
      <c r="Q245" s="8"/>
    </row>
    <row r="246" spans="1:17" x14ac:dyDescent="0.25">
      <c r="A246" s="11" t="s">
        <v>412</v>
      </c>
      <c r="B246" s="5" t="s">
        <v>414</v>
      </c>
      <c r="C246" s="6" t="s">
        <v>259</v>
      </c>
      <c r="D246" s="6" t="s">
        <v>15</v>
      </c>
      <c r="E246" s="6" t="s">
        <v>16</v>
      </c>
      <c r="F246" s="6"/>
      <c r="G246" s="6"/>
      <c r="H246" s="6">
        <v>163</v>
      </c>
      <c r="I246" s="6" t="s">
        <v>30</v>
      </c>
      <c r="J246" s="6"/>
      <c r="K246" s="7" t="s">
        <v>249</v>
      </c>
      <c r="L246" s="6" t="s">
        <v>44</v>
      </c>
      <c r="Q246" s="8"/>
    </row>
    <row r="247" spans="1:17" x14ac:dyDescent="0.25">
      <c r="A247" s="11" t="s">
        <v>415</v>
      </c>
      <c r="B247" s="9" t="s">
        <v>416</v>
      </c>
      <c r="C247" s="6" t="s">
        <v>14</v>
      </c>
      <c r="D247" s="6" t="s">
        <v>21</v>
      </c>
      <c r="E247" s="6" t="s">
        <v>29</v>
      </c>
      <c r="F247" s="6">
        <v>2</v>
      </c>
      <c r="G247" s="6"/>
      <c r="H247" s="6">
        <v>188</v>
      </c>
      <c r="I247" s="6" t="s">
        <v>17</v>
      </c>
      <c r="J247" s="6"/>
      <c r="K247" s="7" t="s">
        <v>249</v>
      </c>
      <c r="L247" s="6" t="s">
        <v>48</v>
      </c>
      <c r="Q247" s="8"/>
    </row>
    <row r="248" spans="1:17" x14ac:dyDescent="0.25">
      <c r="A248" s="11" t="s">
        <v>417</v>
      </c>
      <c r="B248" s="10" t="s">
        <v>418</v>
      </c>
      <c r="C248" s="6" t="s">
        <v>14</v>
      </c>
      <c r="D248" s="6" t="s">
        <v>32</v>
      </c>
      <c r="E248" s="6" t="s">
        <v>16</v>
      </c>
      <c r="F248" s="6">
        <v>2</v>
      </c>
      <c r="G248" s="6"/>
      <c r="H248" s="6">
        <v>171</v>
      </c>
      <c r="I248" s="6" t="s">
        <v>30</v>
      </c>
      <c r="J248" s="6"/>
      <c r="K248" s="7" t="s">
        <v>249</v>
      </c>
      <c r="L248" s="6" t="s">
        <v>48</v>
      </c>
      <c r="Q248" s="8"/>
    </row>
    <row r="249" spans="1:17" x14ac:dyDescent="0.25">
      <c r="A249" s="11" t="s">
        <v>419</v>
      </c>
      <c r="B249" s="10" t="s">
        <v>420</v>
      </c>
      <c r="C249" s="6" t="s">
        <v>14</v>
      </c>
      <c r="D249" s="6" t="s">
        <v>32</v>
      </c>
      <c r="E249" s="6" t="s">
        <v>29</v>
      </c>
      <c r="F249" s="6">
        <v>2</v>
      </c>
      <c r="G249" s="6" t="s">
        <v>146</v>
      </c>
      <c r="H249" s="6">
        <v>156</v>
      </c>
      <c r="I249" s="6" t="s">
        <v>30</v>
      </c>
      <c r="J249" s="6"/>
      <c r="K249" s="7" t="s">
        <v>249</v>
      </c>
      <c r="L249" s="6" t="s">
        <v>48</v>
      </c>
      <c r="Q249" s="8"/>
    </row>
    <row r="250" spans="1:17" x14ac:dyDescent="0.25">
      <c r="A250" s="11" t="s">
        <v>421</v>
      </c>
      <c r="B250" s="5" t="s">
        <v>422</v>
      </c>
      <c r="C250" s="6" t="s">
        <v>259</v>
      </c>
      <c r="D250" s="6" t="s">
        <v>15</v>
      </c>
      <c r="E250" s="6" t="s">
        <v>16</v>
      </c>
      <c r="F250" s="6"/>
      <c r="G250" s="6" t="s">
        <v>146</v>
      </c>
      <c r="H250" s="6">
        <v>141</v>
      </c>
      <c r="I250" s="6" t="s">
        <v>30</v>
      </c>
      <c r="J250" s="6"/>
      <c r="K250" s="7" t="s">
        <v>249</v>
      </c>
      <c r="L250" s="6" t="s">
        <v>44</v>
      </c>
      <c r="Q250" s="8"/>
    </row>
    <row r="251" spans="1:17" x14ac:dyDescent="0.25">
      <c r="A251" s="11" t="s">
        <v>421</v>
      </c>
      <c r="B251" s="9" t="s">
        <v>423</v>
      </c>
      <c r="C251" s="6" t="s">
        <v>259</v>
      </c>
      <c r="D251" s="6" t="s">
        <v>21</v>
      </c>
      <c r="E251" s="6" t="s">
        <v>16</v>
      </c>
      <c r="F251" s="6"/>
      <c r="G251" s="6"/>
      <c r="H251" s="6">
        <v>141</v>
      </c>
      <c r="I251" s="6" t="s">
        <v>30</v>
      </c>
      <c r="J251" s="6"/>
      <c r="K251" s="7" t="s">
        <v>249</v>
      </c>
      <c r="L251" s="6" t="s">
        <v>44</v>
      </c>
      <c r="Q251" s="8"/>
    </row>
    <row r="252" spans="1:17" x14ac:dyDescent="0.25">
      <c r="A252" s="11" t="s">
        <v>424</v>
      </c>
      <c r="B252" s="9" t="s">
        <v>425</v>
      </c>
      <c r="C252" s="6" t="s">
        <v>259</v>
      </c>
      <c r="D252" s="6" t="s">
        <v>21</v>
      </c>
      <c r="E252" s="6" t="s">
        <v>16</v>
      </c>
      <c r="F252" s="6"/>
      <c r="G252" s="6"/>
      <c r="H252" s="6">
        <v>185</v>
      </c>
      <c r="I252" s="6" t="s">
        <v>17</v>
      </c>
      <c r="J252" s="6"/>
      <c r="K252" s="7" t="s">
        <v>249</v>
      </c>
      <c r="L252" s="6" t="s">
        <v>18</v>
      </c>
      <c r="Q252" s="8"/>
    </row>
    <row r="253" spans="1:17" x14ac:dyDescent="0.25">
      <c r="A253" s="11" t="s">
        <v>424</v>
      </c>
      <c r="B253" s="5" t="s">
        <v>426</v>
      </c>
      <c r="C253" s="6" t="s">
        <v>259</v>
      </c>
      <c r="D253" s="6" t="s">
        <v>15</v>
      </c>
      <c r="E253" s="6" t="s">
        <v>16</v>
      </c>
      <c r="F253" s="6"/>
      <c r="G253" s="6"/>
      <c r="H253" s="6">
        <v>185</v>
      </c>
      <c r="I253" s="6" t="s">
        <v>17</v>
      </c>
      <c r="J253" s="6"/>
      <c r="K253" s="7" t="s">
        <v>249</v>
      </c>
      <c r="L253" s="6" t="s">
        <v>18</v>
      </c>
      <c r="Q253" s="8"/>
    </row>
    <row r="254" spans="1:17" x14ac:dyDescent="0.25">
      <c r="A254" s="11" t="s">
        <v>427</v>
      </c>
      <c r="B254" s="10" t="s">
        <v>428</v>
      </c>
      <c r="C254" s="6" t="s">
        <v>259</v>
      </c>
      <c r="D254" s="6" t="s">
        <v>32</v>
      </c>
      <c r="E254" s="6" t="s">
        <v>62</v>
      </c>
      <c r="F254" s="6"/>
      <c r="G254" s="6"/>
      <c r="H254" s="6">
        <v>152</v>
      </c>
      <c r="I254" s="6" t="s">
        <v>30</v>
      </c>
      <c r="J254" s="6"/>
      <c r="K254" s="7" t="s">
        <v>249</v>
      </c>
      <c r="L254" s="6" t="s">
        <v>48</v>
      </c>
      <c r="Q254" s="8"/>
    </row>
    <row r="255" spans="1:17" x14ac:dyDescent="0.25">
      <c r="A255" s="11" t="s">
        <v>429</v>
      </c>
      <c r="B255" s="5" t="s">
        <v>430</v>
      </c>
      <c r="C255" s="6" t="s">
        <v>259</v>
      </c>
      <c r="D255" s="6" t="s">
        <v>15</v>
      </c>
      <c r="E255" s="6" t="s">
        <v>16</v>
      </c>
      <c r="F255" s="6"/>
      <c r="G255" s="6"/>
      <c r="H255" s="6">
        <v>167</v>
      </c>
      <c r="I255" s="6" t="s">
        <v>17</v>
      </c>
      <c r="J255" s="6"/>
      <c r="K255" s="7" t="s">
        <v>249</v>
      </c>
      <c r="L255" s="6" t="s">
        <v>66</v>
      </c>
      <c r="Q255" s="8"/>
    </row>
    <row r="256" spans="1:17" x14ac:dyDescent="0.25">
      <c r="A256" s="11" t="s">
        <v>429</v>
      </c>
      <c r="B256" s="9" t="s">
        <v>431</v>
      </c>
      <c r="C256" s="6" t="s">
        <v>259</v>
      </c>
      <c r="D256" s="6" t="s">
        <v>21</v>
      </c>
      <c r="E256" s="6" t="s">
        <v>16</v>
      </c>
      <c r="F256" s="6"/>
      <c r="G256" s="6"/>
      <c r="H256" s="6">
        <v>167</v>
      </c>
      <c r="I256" s="6" t="s">
        <v>17</v>
      </c>
      <c r="J256" s="6"/>
      <c r="K256" s="7" t="s">
        <v>249</v>
      </c>
      <c r="L256" s="6" t="s">
        <v>66</v>
      </c>
      <c r="Q256" s="8"/>
    </row>
    <row r="257" spans="1:17" x14ac:dyDescent="0.25">
      <c r="A257" s="11" t="s">
        <v>432</v>
      </c>
      <c r="B257" s="10" t="s">
        <v>433</v>
      </c>
      <c r="C257" s="6" t="s">
        <v>259</v>
      </c>
      <c r="D257" s="6" t="s">
        <v>32</v>
      </c>
      <c r="E257" s="6" t="s">
        <v>62</v>
      </c>
      <c r="F257" s="6">
        <v>2</v>
      </c>
      <c r="G257" s="6"/>
      <c r="H257" s="6">
        <v>170</v>
      </c>
      <c r="I257" s="6" t="s">
        <v>17</v>
      </c>
      <c r="J257" s="6"/>
      <c r="K257" s="7" t="s">
        <v>249</v>
      </c>
      <c r="L257" s="6" t="s">
        <v>66</v>
      </c>
      <c r="Q257" s="8"/>
    </row>
    <row r="258" spans="1:17" x14ac:dyDescent="0.25">
      <c r="A258" s="12" t="s">
        <v>434</v>
      </c>
      <c r="B258" s="5" t="s">
        <v>435</v>
      </c>
      <c r="C258" s="6" t="s">
        <v>124</v>
      </c>
      <c r="D258" s="6" t="s">
        <v>15</v>
      </c>
      <c r="E258" s="6" t="s">
        <v>16</v>
      </c>
      <c r="F258" s="6"/>
      <c r="G258" s="6" t="s">
        <v>146</v>
      </c>
      <c r="H258" s="6">
        <v>160</v>
      </c>
      <c r="I258" s="6" t="s">
        <v>30</v>
      </c>
      <c r="J258" s="6"/>
      <c r="K258" s="7" t="s">
        <v>249</v>
      </c>
      <c r="L258" s="6" t="s">
        <v>48</v>
      </c>
      <c r="Q258" s="8"/>
    </row>
    <row r="259" spans="1:17" x14ac:dyDescent="0.25">
      <c r="A259" s="12" t="s">
        <v>436</v>
      </c>
      <c r="B259" s="9" t="s">
        <v>437</v>
      </c>
      <c r="C259" s="6" t="s">
        <v>124</v>
      </c>
      <c r="D259" s="6" t="s">
        <v>21</v>
      </c>
      <c r="E259" s="6" t="s">
        <v>62</v>
      </c>
      <c r="F259" s="6"/>
      <c r="G259" s="6"/>
      <c r="H259" s="6">
        <v>172</v>
      </c>
      <c r="I259" s="6" t="s">
        <v>17</v>
      </c>
      <c r="J259" s="6"/>
      <c r="K259" s="7" t="s">
        <v>249</v>
      </c>
      <c r="L259" s="6" t="s">
        <v>66</v>
      </c>
      <c r="Q259" s="8"/>
    </row>
    <row r="260" spans="1:17" x14ac:dyDescent="0.25">
      <c r="A260" s="12" t="s">
        <v>438</v>
      </c>
      <c r="B260" s="5" t="s">
        <v>439</v>
      </c>
      <c r="C260" s="6" t="s">
        <v>124</v>
      </c>
      <c r="D260" s="6" t="s">
        <v>15</v>
      </c>
      <c r="E260" s="6" t="s">
        <v>29</v>
      </c>
      <c r="F260" s="6"/>
      <c r="G260" s="6"/>
      <c r="H260" s="6">
        <v>186</v>
      </c>
      <c r="I260" s="6" t="s">
        <v>17</v>
      </c>
      <c r="J260" s="6"/>
      <c r="K260" s="7" t="s">
        <v>249</v>
      </c>
      <c r="L260" s="6" t="s">
        <v>25</v>
      </c>
      <c r="Q260" s="8"/>
    </row>
    <row r="261" spans="1:17" x14ac:dyDescent="0.25">
      <c r="A261" s="12" t="s">
        <v>440</v>
      </c>
      <c r="B261" s="9" t="s">
        <v>441</v>
      </c>
      <c r="C261" s="6" t="s">
        <v>124</v>
      </c>
      <c r="D261" s="6" t="s">
        <v>21</v>
      </c>
      <c r="E261" s="6" t="s">
        <v>29</v>
      </c>
      <c r="F261" s="6">
        <v>2</v>
      </c>
      <c r="G261" s="6"/>
      <c r="H261" s="6">
        <v>188</v>
      </c>
      <c r="I261" s="6" t="s">
        <v>17</v>
      </c>
      <c r="J261" s="6"/>
      <c r="K261" s="7" t="s">
        <v>249</v>
      </c>
      <c r="L261" s="6" t="s">
        <v>66</v>
      </c>
      <c r="Q261" s="8"/>
    </row>
    <row r="262" spans="1:17" x14ac:dyDescent="0.25">
      <c r="A262" s="12" t="s">
        <v>442</v>
      </c>
      <c r="B262" s="5" t="s">
        <v>443</v>
      </c>
      <c r="C262" s="6" t="s">
        <v>124</v>
      </c>
      <c r="D262" s="6" t="s">
        <v>15</v>
      </c>
      <c r="E262" s="6" t="s">
        <v>29</v>
      </c>
      <c r="F262" s="6"/>
      <c r="G262" s="6"/>
      <c r="H262" s="6">
        <v>189</v>
      </c>
      <c r="I262" s="6" t="s">
        <v>17</v>
      </c>
      <c r="J262" s="6"/>
      <c r="K262" s="7" t="s">
        <v>249</v>
      </c>
      <c r="L262" s="6" t="s">
        <v>44</v>
      </c>
      <c r="Q262" s="8"/>
    </row>
    <row r="263" spans="1:17" x14ac:dyDescent="0.25">
      <c r="A263" s="12" t="s">
        <v>444</v>
      </c>
      <c r="B263" s="5" t="s">
        <v>445</v>
      </c>
      <c r="C263" s="6" t="s">
        <v>124</v>
      </c>
      <c r="D263" s="6" t="s">
        <v>15</v>
      </c>
      <c r="E263" s="6" t="s">
        <v>29</v>
      </c>
      <c r="F263" s="6"/>
      <c r="G263" s="6"/>
      <c r="H263" s="6">
        <v>230</v>
      </c>
      <c r="I263" s="6" t="s">
        <v>17</v>
      </c>
      <c r="J263" s="6"/>
      <c r="K263" s="7" t="s">
        <v>249</v>
      </c>
      <c r="L263" s="6" t="s">
        <v>18</v>
      </c>
      <c r="Q263" s="8"/>
    </row>
    <row r="264" spans="1:17" x14ac:dyDescent="0.25">
      <c r="A264" s="13" t="s">
        <v>446</v>
      </c>
      <c r="B264" s="5" t="s">
        <v>447</v>
      </c>
      <c r="C264" s="6" t="s">
        <v>20</v>
      </c>
      <c r="D264" s="6" t="s">
        <v>15</v>
      </c>
      <c r="E264" s="6" t="s">
        <v>29</v>
      </c>
      <c r="F264" s="6"/>
      <c r="G264" s="6"/>
      <c r="H264" s="6">
        <v>166</v>
      </c>
      <c r="I264" s="6" t="s">
        <v>17</v>
      </c>
      <c r="J264" s="6">
        <v>17</v>
      </c>
      <c r="K264" s="7">
        <v>45417</v>
      </c>
      <c r="L264" s="6" t="s">
        <v>44</v>
      </c>
      <c r="Q264" s="8"/>
    </row>
    <row r="265" spans="1:17" x14ac:dyDescent="0.25">
      <c r="A265" s="13" t="s">
        <v>448</v>
      </c>
      <c r="B265" s="9" t="s">
        <v>449</v>
      </c>
      <c r="C265" s="6" t="s">
        <v>20</v>
      </c>
      <c r="D265" s="6" t="s">
        <v>21</v>
      </c>
      <c r="E265" s="6" t="s">
        <v>62</v>
      </c>
      <c r="F265" s="6"/>
      <c r="G265" s="6" t="s">
        <v>146</v>
      </c>
      <c r="H265" s="6">
        <v>174</v>
      </c>
      <c r="I265" s="6" t="s">
        <v>30</v>
      </c>
      <c r="J265" s="6">
        <v>26</v>
      </c>
      <c r="K265" s="7">
        <v>45480</v>
      </c>
      <c r="L265" s="6" t="s">
        <v>48</v>
      </c>
      <c r="Q265" s="8"/>
    </row>
    <row r="266" spans="1:17" x14ac:dyDescent="0.25">
      <c r="A266" s="13" t="s">
        <v>450</v>
      </c>
      <c r="B266" s="9" t="s">
        <v>451</v>
      </c>
      <c r="C266" s="6" t="s">
        <v>20</v>
      </c>
      <c r="D266" s="6" t="s">
        <v>21</v>
      </c>
      <c r="E266" s="6" t="s">
        <v>62</v>
      </c>
      <c r="F266" s="6"/>
      <c r="G266" s="6"/>
      <c r="H266" s="6">
        <v>171</v>
      </c>
      <c r="I266" s="6" t="s">
        <v>17</v>
      </c>
      <c r="J266" s="6">
        <v>32</v>
      </c>
      <c r="K266" s="7">
        <v>45233</v>
      </c>
      <c r="L266" s="6" t="s">
        <v>52</v>
      </c>
      <c r="Q266" s="8"/>
    </row>
    <row r="267" spans="1:17" x14ac:dyDescent="0.25">
      <c r="A267" s="13" t="s">
        <v>452</v>
      </c>
      <c r="B267" s="9" t="s">
        <v>453</v>
      </c>
      <c r="C267" s="6" t="s">
        <v>20</v>
      </c>
      <c r="D267" s="6" t="s">
        <v>21</v>
      </c>
      <c r="E267" s="6" t="s">
        <v>62</v>
      </c>
      <c r="F267" s="6">
        <v>2</v>
      </c>
      <c r="G267" s="6"/>
      <c r="H267" s="6">
        <v>195</v>
      </c>
      <c r="I267" s="6" t="s">
        <v>17</v>
      </c>
      <c r="J267" s="6">
        <v>41</v>
      </c>
      <c r="K267" s="7">
        <v>45103</v>
      </c>
      <c r="L267" s="6" t="s">
        <v>18</v>
      </c>
      <c r="Q267" s="8"/>
    </row>
    <row r="268" spans="1:17" x14ac:dyDescent="0.25">
      <c r="A268" s="13" t="s">
        <v>454</v>
      </c>
      <c r="B268" s="5" t="s">
        <v>455</v>
      </c>
      <c r="C268" s="6" t="s">
        <v>20</v>
      </c>
      <c r="D268" s="6" t="s">
        <v>15</v>
      </c>
      <c r="E268" s="6" t="s">
        <v>62</v>
      </c>
      <c r="F268" s="6"/>
      <c r="G268" s="6"/>
      <c r="H268" s="6">
        <v>154</v>
      </c>
      <c r="I268" s="6" t="s">
        <v>30</v>
      </c>
      <c r="J268" s="6">
        <v>19</v>
      </c>
      <c r="K268" s="7">
        <v>45283</v>
      </c>
      <c r="L268" s="6" t="s">
        <v>66</v>
      </c>
      <c r="Q268" s="8"/>
    </row>
    <row r="269" spans="1:17" x14ac:dyDescent="0.25">
      <c r="A269" s="13" t="s">
        <v>456</v>
      </c>
      <c r="B269" s="10" t="s">
        <v>457</v>
      </c>
      <c r="C269" s="6" t="s">
        <v>20</v>
      </c>
      <c r="D269" s="6" t="s">
        <v>32</v>
      </c>
      <c r="E269" s="6" t="s">
        <v>16</v>
      </c>
      <c r="F269" s="6">
        <v>2</v>
      </c>
      <c r="G269" s="6" t="s">
        <v>146</v>
      </c>
      <c r="H269" s="6">
        <v>160</v>
      </c>
      <c r="I269" s="6" t="s">
        <v>30</v>
      </c>
      <c r="J269" s="6">
        <v>14</v>
      </c>
      <c r="K269" s="7">
        <v>44971</v>
      </c>
      <c r="L269" s="6" t="s">
        <v>44</v>
      </c>
      <c r="Q269" s="8"/>
    </row>
    <row r="270" spans="1:17" x14ac:dyDescent="0.25">
      <c r="A270" s="13" t="s">
        <v>458</v>
      </c>
      <c r="B270" s="10" t="s">
        <v>459</v>
      </c>
      <c r="C270" s="6" t="s">
        <v>20</v>
      </c>
      <c r="D270" s="6" t="s">
        <v>32</v>
      </c>
      <c r="E270" s="6" t="s">
        <v>62</v>
      </c>
      <c r="F270" s="6">
        <v>3</v>
      </c>
      <c r="G270" s="6"/>
      <c r="H270" s="6">
        <v>165</v>
      </c>
      <c r="I270" s="6" t="s">
        <v>17</v>
      </c>
      <c r="J270" s="6">
        <v>20</v>
      </c>
      <c r="K270" s="7">
        <v>44992</v>
      </c>
      <c r="L270" s="6" t="s">
        <v>48</v>
      </c>
      <c r="Q270" s="8"/>
    </row>
    <row r="271" spans="1:17" x14ac:dyDescent="0.25">
      <c r="A271" s="13" t="s">
        <v>460</v>
      </c>
      <c r="B271" s="9" t="s">
        <v>461</v>
      </c>
      <c r="C271" s="6" t="s">
        <v>20</v>
      </c>
      <c r="D271" s="6" t="s">
        <v>21</v>
      </c>
      <c r="E271" s="6" t="s">
        <v>62</v>
      </c>
      <c r="F271" s="6"/>
      <c r="G271" s="6"/>
      <c r="H271" s="6">
        <v>186</v>
      </c>
      <c r="I271" s="6" t="s">
        <v>17</v>
      </c>
      <c r="J271" s="6">
        <v>22</v>
      </c>
      <c r="K271" s="7">
        <v>45173</v>
      </c>
      <c r="L271" s="6" t="s">
        <v>66</v>
      </c>
      <c r="Q271" s="8"/>
    </row>
    <row r="272" spans="1:17" x14ac:dyDescent="0.25">
      <c r="A272" s="13" t="s">
        <v>462</v>
      </c>
      <c r="B272" s="9" t="s">
        <v>463</v>
      </c>
      <c r="C272" s="6" t="s">
        <v>20</v>
      </c>
      <c r="D272" s="6" t="s">
        <v>21</v>
      </c>
      <c r="E272" s="6" t="s">
        <v>16</v>
      </c>
      <c r="F272" s="6"/>
      <c r="G272" s="6" t="s">
        <v>146</v>
      </c>
      <c r="H272" s="6">
        <v>170</v>
      </c>
      <c r="I272" s="6" t="s">
        <v>30</v>
      </c>
      <c r="J272" s="6"/>
      <c r="K272" s="7">
        <v>44927</v>
      </c>
      <c r="L272" s="6" t="s">
        <v>44</v>
      </c>
      <c r="Q272" s="8"/>
    </row>
    <row r="273" spans="1:17" x14ac:dyDescent="0.25">
      <c r="A273" s="13" t="s">
        <v>464</v>
      </c>
      <c r="B273" s="9" t="s">
        <v>465</v>
      </c>
      <c r="C273" s="6" t="s">
        <v>20</v>
      </c>
      <c r="D273" s="6" t="s">
        <v>21</v>
      </c>
      <c r="E273" s="6" t="s">
        <v>62</v>
      </c>
      <c r="F273" s="6">
        <v>2</v>
      </c>
      <c r="G273" s="6"/>
      <c r="H273" s="6">
        <v>175</v>
      </c>
      <c r="I273" s="6" t="s">
        <v>17</v>
      </c>
      <c r="J273" s="6">
        <v>36</v>
      </c>
      <c r="K273" s="7">
        <v>46140</v>
      </c>
      <c r="L273" s="6" t="s">
        <v>48</v>
      </c>
      <c r="Q273" s="8"/>
    </row>
    <row r="274" spans="1:17" x14ac:dyDescent="0.25">
      <c r="Q274" s="8"/>
    </row>
    <row r="275" spans="1:17" x14ac:dyDescent="0.25">
      <c r="Q275" s="8"/>
    </row>
    <row r="276" spans="1:17" x14ac:dyDescent="0.25">
      <c r="Q276" s="8"/>
    </row>
    <row r="277" spans="1:17" x14ac:dyDescent="0.25">
      <c r="Q277" s="8"/>
    </row>
    <row r="278" spans="1:17" x14ac:dyDescent="0.25">
      <c r="Q278" s="8"/>
    </row>
    <row r="279" spans="1:17" x14ac:dyDescent="0.25">
      <c r="Q279" s="8"/>
    </row>
    <row r="280" spans="1:17" x14ac:dyDescent="0.25">
      <c r="Q280" s="8"/>
    </row>
    <row r="281" spans="1:17" x14ac:dyDescent="0.25">
      <c r="Q281" s="8"/>
    </row>
    <row r="282" spans="1:17" x14ac:dyDescent="0.25">
      <c r="Q282" s="8"/>
    </row>
    <row r="283" spans="1:17" x14ac:dyDescent="0.25">
      <c r="Q283" s="8"/>
    </row>
    <row r="284" spans="1:17" x14ac:dyDescent="0.25">
      <c r="Q284" s="8"/>
    </row>
    <row r="285" spans="1:17" x14ac:dyDescent="0.25">
      <c r="Q285" s="8"/>
    </row>
    <row r="286" spans="1:17" x14ac:dyDescent="0.25">
      <c r="Q286" s="8"/>
    </row>
    <row r="287" spans="1:17" x14ac:dyDescent="0.25">
      <c r="Q287" s="8"/>
    </row>
    <row r="288" spans="1:17" x14ac:dyDescent="0.25">
      <c r="Q288" s="8"/>
    </row>
    <row r="289" spans="17:17" x14ac:dyDescent="0.25">
      <c r="Q289" s="8"/>
    </row>
    <row r="290" spans="17:17" x14ac:dyDescent="0.25">
      <c r="Q290" s="8"/>
    </row>
    <row r="291" spans="17:17" x14ac:dyDescent="0.25">
      <c r="Q291" s="8"/>
    </row>
    <row r="292" spans="17:17" x14ac:dyDescent="0.25">
      <c r="Q292" s="8"/>
    </row>
    <row r="293" spans="17:17" x14ac:dyDescent="0.25">
      <c r="Q293" s="8"/>
    </row>
    <row r="294" spans="17:17" x14ac:dyDescent="0.25">
      <c r="Q294" s="8"/>
    </row>
    <row r="295" spans="17:17" x14ac:dyDescent="0.25">
      <c r="Q295" s="8"/>
    </row>
    <row r="296" spans="17:17" x14ac:dyDescent="0.25">
      <c r="Q296" s="8"/>
    </row>
    <row r="297" spans="17:17" x14ac:dyDescent="0.25">
      <c r="Q297" s="8"/>
    </row>
    <row r="298" spans="17:17" x14ac:dyDescent="0.25">
      <c r="Q298" s="8"/>
    </row>
    <row r="299" spans="17:17" x14ac:dyDescent="0.25">
      <c r="Q299" s="8"/>
    </row>
    <row r="300" spans="17:17" x14ac:dyDescent="0.25">
      <c r="Q300" s="8"/>
    </row>
    <row r="301" spans="17:17" x14ac:dyDescent="0.25">
      <c r="Q301" s="8"/>
    </row>
    <row r="302" spans="17:17" x14ac:dyDescent="0.25">
      <c r="Q302" s="8"/>
    </row>
    <row r="303" spans="17:17" x14ac:dyDescent="0.25">
      <c r="Q303" s="8"/>
    </row>
    <row r="304" spans="17:17" x14ac:dyDescent="0.25">
      <c r="Q304" s="8"/>
    </row>
    <row r="305" spans="17:17" x14ac:dyDescent="0.25">
      <c r="Q305" s="8"/>
    </row>
    <row r="306" spans="17:17" x14ac:dyDescent="0.25">
      <c r="Q306" s="8"/>
    </row>
    <row r="307" spans="17:17" x14ac:dyDescent="0.25">
      <c r="Q307" s="8"/>
    </row>
    <row r="308" spans="17:17" x14ac:dyDescent="0.25">
      <c r="Q308" s="8"/>
    </row>
    <row r="309" spans="17:17" x14ac:dyDescent="0.25">
      <c r="Q309" s="8"/>
    </row>
    <row r="310" spans="17:17" x14ac:dyDescent="0.25">
      <c r="Q310" s="8"/>
    </row>
    <row r="311" spans="17:17" x14ac:dyDescent="0.25">
      <c r="Q311" s="8"/>
    </row>
    <row r="312" spans="17:17" x14ac:dyDescent="0.25">
      <c r="Q312" s="8"/>
    </row>
    <row r="313" spans="17:17" x14ac:dyDescent="0.25">
      <c r="Q313" s="8"/>
    </row>
    <row r="314" spans="17:17" x14ac:dyDescent="0.25">
      <c r="Q314" s="8"/>
    </row>
    <row r="315" spans="17:17" x14ac:dyDescent="0.25">
      <c r="Q315" s="8"/>
    </row>
    <row r="316" spans="17:17" x14ac:dyDescent="0.25">
      <c r="Q316" s="8"/>
    </row>
    <row r="317" spans="17:17" x14ac:dyDescent="0.25">
      <c r="Q317" s="8"/>
    </row>
    <row r="318" spans="17:17" x14ac:dyDescent="0.25">
      <c r="Q318" s="8"/>
    </row>
    <row r="319" spans="17:17" x14ac:dyDescent="0.25">
      <c r="Q319" s="8"/>
    </row>
    <row r="320" spans="17:17" x14ac:dyDescent="0.25">
      <c r="Q320" s="8"/>
    </row>
    <row r="321" spans="17:17" x14ac:dyDescent="0.25">
      <c r="Q321" s="8"/>
    </row>
    <row r="322" spans="17:17" x14ac:dyDescent="0.25">
      <c r="Q322" s="8"/>
    </row>
    <row r="323" spans="17:17" x14ac:dyDescent="0.25">
      <c r="Q323" s="8"/>
    </row>
    <row r="324" spans="17:17" x14ac:dyDescent="0.25">
      <c r="Q324" s="8"/>
    </row>
    <row r="325" spans="17:17" x14ac:dyDescent="0.25">
      <c r="Q325" s="8"/>
    </row>
    <row r="326" spans="17:17" x14ac:dyDescent="0.25">
      <c r="Q326" s="8"/>
    </row>
    <row r="327" spans="17:17" x14ac:dyDescent="0.25">
      <c r="Q327" s="8"/>
    </row>
    <row r="328" spans="17:17" x14ac:dyDescent="0.25">
      <c r="Q328" s="8"/>
    </row>
    <row r="329" spans="17:17" x14ac:dyDescent="0.25">
      <c r="Q329" s="8"/>
    </row>
    <row r="330" spans="17:17" x14ac:dyDescent="0.25">
      <c r="Q330" s="8"/>
    </row>
    <row r="331" spans="17:17" x14ac:dyDescent="0.25">
      <c r="Q331" s="8"/>
    </row>
    <row r="332" spans="17:17" x14ac:dyDescent="0.25">
      <c r="Q332" s="8"/>
    </row>
    <row r="333" spans="17:17" x14ac:dyDescent="0.25">
      <c r="Q333" s="8"/>
    </row>
    <row r="334" spans="17:17" x14ac:dyDescent="0.25">
      <c r="Q334" s="8"/>
    </row>
    <row r="335" spans="17:17" x14ac:dyDescent="0.25">
      <c r="Q335" s="8"/>
    </row>
    <row r="336" spans="17:17" x14ac:dyDescent="0.25">
      <c r="Q336" s="8"/>
    </row>
    <row r="337" spans="17:17" x14ac:dyDescent="0.25">
      <c r="Q337" s="8"/>
    </row>
    <row r="338" spans="17:17" x14ac:dyDescent="0.25">
      <c r="Q338" s="8"/>
    </row>
    <row r="339" spans="17:17" x14ac:dyDescent="0.25">
      <c r="Q339" s="8"/>
    </row>
    <row r="340" spans="17:17" x14ac:dyDescent="0.25">
      <c r="Q340" s="8"/>
    </row>
    <row r="341" spans="17:17" x14ac:dyDescent="0.25">
      <c r="Q341" s="8"/>
    </row>
    <row r="342" spans="17:17" x14ac:dyDescent="0.25">
      <c r="Q342" s="8"/>
    </row>
    <row r="343" spans="17:17" x14ac:dyDescent="0.25">
      <c r="Q343" s="8"/>
    </row>
    <row r="344" spans="17:17" x14ac:dyDescent="0.25">
      <c r="Q344" s="8"/>
    </row>
    <row r="345" spans="17:17" x14ac:dyDescent="0.25">
      <c r="Q345" s="8"/>
    </row>
    <row r="346" spans="17:17" x14ac:dyDescent="0.25">
      <c r="Q346" s="8"/>
    </row>
    <row r="347" spans="17:17" x14ac:dyDescent="0.25">
      <c r="Q347" s="8"/>
    </row>
    <row r="348" spans="17:17" x14ac:dyDescent="0.25">
      <c r="Q348" s="8"/>
    </row>
    <row r="349" spans="17:17" x14ac:dyDescent="0.25">
      <c r="Q349" s="8"/>
    </row>
    <row r="350" spans="17:17" x14ac:dyDescent="0.25">
      <c r="Q350" s="8"/>
    </row>
    <row r="351" spans="17:17" x14ac:dyDescent="0.25">
      <c r="Q351" s="8"/>
    </row>
    <row r="352" spans="17:17" x14ac:dyDescent="0.25">
      <c r="Q352" s="8"/>
    </row>
    <row r="353" spans="17:17" x14ac:dyDescent="0.25">
      <c r="Q353" s="8"/>
    </row>
    <row r="354" spans="17:17" x14ac:dyDescent="0.25">
      <c r="Q354" s="8"/>
    </row>
    <row r="355" spans="17:17" x14ac:dyDescent="0.25">
      <c r="Q355" s="8"/>
    </row>
    <row r="356" spans="17:17" x14ac:dyDescent="0.25">
      <c r="Q356" s="8"/>
    </row>
    <row r="357" spans="17:17" x14ac:dyDescent="0.25">
      <c r="Q357" s="8"/>
    </row>
    <row r="358" spans="17:17" x14ac:dyDescent="0.25">
      <c r="Q358" s="8"/>
    </row>
    <row r="359" spans="17:17" x14ac:dyDescent="0.25">
      <c r="Q359" s="8"/>
    </row>
    <row r="360" spans="17:17" x14ac:dyDescent="0.25">
      <c r="Q360" s="8"/>
    </row>
    <row r="361" spans="17:17" x14ac:dyDescent="0.25">
      <c r="Q361" s="8"/>
    </row>
    <row r="362" spans="17:17" x14ac:dyDescent="0.25">
      <c r="Q362" s="8"/>
    </row>
    <row r="363" spans="17:17" x14ac:dyDescent="0.25">
      <c r="Q363" s="8"/>
    </row>
    <row r="364" spans="17:17" x14ac:dyDescent="0.25">
      <c r="Q364" s="8"/>
    </row>
    <row r="365" spans="17:17" x14ac:dyDescent="0.25">
      <c r="Q365" s="8"/>
    </row>
    <row r="366" spans="17:17" x14ac:dyDescent="0.25">
      <c r="Q366" s="8"/>
    </row>
    <row r="367" spans="17:17" x14ac:dyDescent="0.25">
      <c r="Q367" s="8"/>
    </row>
    <row r="368" spans="17:17" x14ac:dyDescent="0.25">
      <c r="Q368" s="8"/>
    </row>
    <row r="369" spans="17:17" x14ac:dyDescent="0.25">
      <c r="Q369" s="8"/>
    </row>
    <row r="370" spans="17:17" x14ac:dyDescent="0.25">
      <c r="Q370" s="8"/>
    </row>
    <row r="371" spans="17:17" x14ac:dyDescent="0.25">
      <c r="Q371" s="8"/>
    </row>
    <row r="372" spans="17:17" x14ac:dyDescent="0.25">
      <c r="Q372" s="8"/>
    </row>
    <row r="373" spans="17:17" x14ac:dyDescent="0.25">
      <c r="Q373" s="8"/>
    </row>
    <row r="374" spans="17:17" x14ac:dyDescent="0.25">
      <c r="Q374" s="8"/>
    </row>
    <row r="375" spans="17:17" x14ac:dyDescent="0.25">
      <c r="Q375" s="8"/>
    </row>
    <row r="376" spans="17:17" x14ac:dyDescent="0.25">
      <c r="Q376" s="8"/>
    </row>
    <row r="377" spans="17:17" x14ac:dyDescent="0.25">
      <c r="Q377" s="8"/>
    </row>
    <row r="378" spans="17:17" x14ac:dyDescent="0.25">
      <c r="Q378" s="8"/>
    </row>
    <row r="379" spans="17:17" x14ac:dyDescent="0.25">
      <c r="Q379" s="8"/>
    </row>
    <row r="380" spans="17:17" x14ac:dyDescent="0.25">
      <c r="Q380" s="8"/>
    </row>
    <row r="381" spans="17:17" x14ac:dyDescent="0.25">
      <c r="Q381" s="8"/>
    </row>
    <row r="382" spans="17:17" x14ac:dyDescent="0.25">
      <c r="Q382" s="8"/>
    </row>
    <row r="383" spans="17:17" x14ac:dyDescent="0.25">
      <c r="Q383" s="8"/>
    </row>
    <row r="384" spans="17:17" x14ac:dyDescent="0.25">
      <c r="Q384" s="8"/>
    </row>
    <row r="385" spans="17:17" x14ac:dyDescent="0.25">
      <c r="Q385" s="8"/>
    </row>
    <row r="386" spans="17:17" x14ac:dyDescent="0.25">
      <c r="Q386" s="8"/>
    </row>
    <row r="387" spans="17:17" x14ac:dyDescent="0.25">
      <c r="Q387" s="8"/>
    </row>
    <row r="388" spans="17:17" x14ac:dyDescent="0.25">
      <c r="Q388" s="8"/>
    </row>
    <row r="389" spans="17:17" x14ac:dyDescent="0.25">
      <c r="Q389" s="8"/>
    </row>
    <row r="390" spans="17:17" x14ac:dyDescent="0.25">
      <c r="Q390" s="8"/>
    </row>
    <row r="391" spans="17:17" x14ac:dyDescent="0.25">
      <c r="Q391" s="8"/>
    </row>
    <row r="392" spans="17:17" x14ac:dyDescent="0.25">
      <c r="Q392" s="8"/>
    </row>
    <row r="393" spans="17:17" x14ac:dyDescent="0.25">
      <c r="Q393" s="8"/>
    </row>
    <row r="394" spans="17:17" x14ac:dyDescent="0.25">
      <c r="Q394" s="8"/>
    </row>
    <row r="395" spans="17:17" x14ac:dyDescent="0.25">
      <c r="Q395" s="8"/>
    </row>
    <row r="396" spans="17:17" x14ac:dyDescent="0.25">
      <c r="Q396" s="8"/>
    </row>
    <row r="397" spans="17:17" x14ac:dyDescent="0.25">
      <c r="Q397" s="8"/>
    </row>
    <row r="398" spans="17:17" x14ac:dyDescent="0.25">
      <c r="Q398" s="8"/>
    </row>
    <row r="399" spans="17:17" x14ac:dyDescent="0.25">
      <c r="Q399" s="8"/>
    </row>
    <row r="400" spans="17:17" x14ac:dyDescent="0.25">
      <c r="Q400" s="8"/>
    </row>
    <row r="401" spans="17:17" x14ac:dyDescent="0.25">
      <c r="Q401" s="8"/>
    </row>
    <row r="402" spans="17:17" x14ac:dyDescent="0.25">
      <c r="Q402" s="8"/>
    </row>
    <row r="403" spans="17:17" x14ac:dyDescent="0.25">
      <c r="Q403" s="8"/>
    </row>
    <row r="404" spans="17:17" x14ac:dyDescent="0.25">
      <c r="Q404" s="8"/>
    </row>
    <row r="405" spans="17:17" x14ac:dyDescent="0.25">
      <c r="Q405" s="8"/>
    </row>
    <row r="406" spans="17:17" x14ac:dyDescent="0.25">
      <c r="Q406" s="8"/>
    </row>
    <row r="407" spans="17:17" x14ac:dyDescent="0.25">
      <c r="Q407" s="8"/>
    </row>
    <row r="408" spans="17:17" x14ac:dyDescent="0.25">
      <c r="Q408" s="8"/>
    </row>
    <row r="409" spans="17:17" x14ac:dyDescent="0.25">
      <c r="Q409" s="8"/>
    </row>
    <row r="410" spans="17:17" x14ac:dyDescent="0.25">
      <c r="Q410" s="8"/>
    </row>
    <row r="411" spans="17:17" x14ac:dyDescent="0.25">
      <c r="Q411" s="8"/>
    </row>
    <row r="412" spans="17:17" x14ac:dyDescent="0.25">
      <c r="Q412" s="8"/>
    </row>
    <row r="413" spans="17:17" x14ac:dyDescent="0.25">
      <c r="Q413" s="8"/>
    </row>
    <row r="414" spans="17:17" x14ac:dyDescent="0.25">
      <c r="Q414" s="8"/>
    </row>
    <row r="415" spans="17:17" x14ac:dyDescent="0.25">
      <c r="Q415" s="8"/>
    </row>
    <row r="416" spans="17:17" x14ac:dyDescent="0.25">
      <c r="Q416" s="8"/>
    </row>
    <row r="417" spans="17:17" x14ac:dyDescent="0.25">
      <c r="Q417" s="8"/>
    </row>
    <row r="418" spans="17:17" x14ac:dyDescent="0.25">
      <c r="Q418" s="8"/>
    </row>
    <row r="419" spans="17:17" x14ac:dyDescent="0.25">
      <c r="Q419" s="8"/>
    </row>
    <row r="420" spans="17:17" x14ac:dyDescent="0.25">
      <c r="Q420" s="8"/>
    </row>
    <row r="421" spans="17:17" x14ac:dyDescent="0.25">
      <c r="Q421" s="8"/>
    </row>
    <row r="422" spans="17:17" x14ac:dyDescent="0.25">
      <c r="Q422" s="8"/>
    </row>
    <row r="423" spans="17:17" x14ac:dyDescent="0.25">
      <c r="Q423" s="8"/>
    </row>
    <row r="424" spans="17:17" x14ac:dyDescent="0.25">
      <c r="Q424" s="8"/>
    </row>
    <row r="425" spans="17:17" x14ac:dyDescent="0.25">
      <c r="Q425" s="8"/>
    </row>
    <row r="426" spans="17:17" x14ac:dyDescent="0.25">
      <c r="Q426" s="8"/>
    </row>
    <row r="427" spans="17:17" x14ac:dyDescent="0.25">
      <c r="Q427" s="8"/>
    </row>
    <row r="428" spans="17:17" x14ac:dyDescent="0.25">
      <c r="Q428" s="8"/>
    </row>
    <row r="429" spans="17:17" x14ac:dyDescent="0.25">
      <c r="Q429" s="8"/>
    </row>
    <row r="430" spans="17:17" x14ac:dyDescent="0.25">
      <c r="Q430" s="8"/>
    </row>
    <row r="431" spans="17:17" x14ac:dyDescent="0.25">
      <c r="Q431" s="8"/>
    </row>
    <row r="432" spans="17:17" x14ac:dyDescent="0.25">
      <c r="Q432" s="8"/>
    </row>
    <row r="433" spans="17:17" x14ac:dyDescent="0.25">
      <c r="Q433" s="8"/>
    </row>
    <row r="434" spans="17:17" x14ac:dyDescent="0.25">
      <c r="Q434" s="8"/>
    </row>
    <row r="435" spans="17:17" x14ac:dyDescent="0.25">
      <c r="Q435" s="8"/>
    </row>
    <row r="436" spans="17:17" x14ac:dyDescent="0.25">
      <c r="Q436" s="8"/>
    </row>
    <row r="437" spans="17:17" x14ac:dyDescent="0.25">
      <c r="Q437" s="8"/>
    </row>
    <row r="438" spans="17:17" x14ac:dyDescent="0.25">
      <c r="Q438" s="8"/>
    </row>
    <row r="439" spans="17:17" x14ac:dyDescent="0.25">
      <c r="Q439" s="8"/>
    </row>
    <row r="440" spans="17:17" x14ac:dyDescent="0.25">
      <c r="Q440" s="8"/>
    </row>
    <row r="441" spans="17:17" x14ac:dyDescent="0.25">
      <c r="Q441" s="8"/>
    </row>
    <row r="442" spans="17:17" x14ac:dyDescent="0.25">
      <c r="Q442" s="8"/>
    </row>
    <row r="443" spans="17:17" x14ac:dyDescent="0.25">
      <c r="Q443" s="8"/>
    </row>
    <row r="444" spans="17:17" x14ac:dyDescent="0.25">
      <c r="Q444" s="8"/>
    </row>
    <row r="445" spans="17:17" x14ac:dyDescent="0.25">
      <c r="Q445" s="8"/>
    </row>
    <row r="446" spans="17:17" x14ac:dyDescent="0.25">
      <c r="Q446" s="8"/>
    </row>
    <row r="447" spans="17:17" x14ac:dyDescent="0.25">
      <c r="Q447" s="8"/>
    </row>
    <row r="448" spans="17:17" x14ac:dyDescent="0.25">
      <c r="Q448" s="8"/>
    </row>
    <row r="449" spans="17:17" x14ac:dyDescent="0.25">
      <c r="Q449" s="8"/>
    </row>
    <row r="450" spans="17:17" x14ac:dyDescent="0.25">
      <c r="Q450" s="8"/>
    </row>
    <row r="451" spans="17:17" x14ac:dyDescent="0.25">
      <c r="Q451" s="8"/>
    </row>
    <row r="452" spans="17:17" x14ac:dyDescent="0.25">
      <c r="Q452" s="8"/>
    </row>
    <row r="453" spans="17:17" x14ac:dyDescent="0.25">
      <c r="Q453" s="8"/>
    </row>
    <row r="454" spans="17:17" x14ac:dyDescent="0.25">
      <c r="Q454" s="8"/>
    </row>
    <row r="455" spans="17:17" x14ac:dyDescent="0.25">
      <c r="Q455" s="8"/>
    </row>
    <row r="456" spans="17:17" x14ac:dyDescent="0.25">
      <c r="Q456" s="8"/>
    </row>
    <row r="457" spans="17:17" x14ac:dyDescent="0.25">
      <c r="Q457" s="8"/>
    </row>
    <row r="458" spans="17:17" x14ac:dyDescent="0.25">
      <c r="Q458" s="8"/>
    </row>
    <row r="459" spans="17:17" x14ac:dyDescent="0.25">
      <c r="Q459" s="8"/>
    </row>
    <row r="460" spans="17:17" x14ac:dyDescent="0.25">
      <c r="Q460" s="8"/>
    </row>
    <row r="461" spans="17:17" x14ac:dyDescent="0.25">
      <c r="Q461" s="8"/>
    </row>
    <row r="462" spans="17:17" x14ac:dyDescent="0.25">
      <c r="Q462" s="8"/>
    </row>
    <row r="463" spans="17:17" x14ac:dyDescent="0.25">
      <c r="Q463" s="8"/>
    </row>
    <row r="464" spans="17:17" x14ac:dyDescent="0.25">
      <c r="Q464" s="8"/>
    </row>
    <row r="465" spans="17:17" x14ac:dyDescent="0.25">
      <c r="Q465" s="8"/>
    </row>
    <row r="466" spans="17:17" x14ac:dyDescent="0.25">
      <c r="Q466" s="8"/>
    </row>
    <row r="467" spans="17:17" x14ac:dyDescent="0.25">
      <c r="Q467" s="8"/>
    </row>
    <row r="468" spans="17:17" x14ac:dyDescent="0.25">
      <c r="Q468" s="8"/>
    </row>
    <row r="469" spans="17:17" x14ac:dyDescent="0.25">
      <c r="Q469" s="8"/>
    </row>
    <row r="470" spans="17:17" x14ac:dyDescent="0.25">
      <c r="Q470" s="8"/>
    </row>
    <row r="471" spans="17:17" x14ac:dyDescent="0.25">
      <c r="Q471" s="8"/>
    </row>
    <row r="472" spans="17:17" x14ac:dyDescent="0.25">
      <c r="Q472" s="8"/>
    </row>
    <row r="473" spans="17:17" x14ac:dyDescent="0.25">
      <c r="Q473" s="8"/>
    </row>
    <row r="474" spans="17:17" x14ac:dyDescent="0.25">
      <c r="Q474" s="8"/>
    </row>
    <row r="475" spans="17:17" x14ac:dyDescent="0.25">
      <c r="Q475" s="8"/>
    </row>
    <row r="476" spans="17:17" x14ac:dyDescent="0.25">
      <c r="Q476" s="8"/>
    </row>
    <row r="477" spans="17:17" x14ac:dyDescent="0.25">
      <c r="Q477" s="8"/>
    </row>
    <row r="478" spans="17:17" x14ac:dyDescent="0.25">
      <c r="Q478" s="8"/>
    </row>
    <row r="479" spans="17:17" x14ac:dyDescent="0.25">
      <c r="Q479" s="8"/>
    </row>
    <row r="480" spans="17:17" x14ac:dyDescent="0.25">
      <c r="Q480" s="8"/>
    </row>
    <row r="481" spans="17:17" x14ac:dyDescent="0.25">
      <c r="Q481" s="8"/>
    </row>
    <row r="482" spans="17:17" x14ac:dyDescent="0.25">
      <c r="Q482" s="8"/>
    </row>
    <row r="483" spans="17:17" x14ac:dyDescent="0.25">
      <c r="Q483" s="8"/>
    </row>
    <row r="484" spans="17:17" x14ac:dyDescent="0.25">
      <c r="Q484" s="8"/>
    </row>
    <row r="485" spans="17:17" x14ac:dyDescent="0.25">
      <c r="Q485" s="8"/>
    </row>
    <row r="486" spans="17:17" x14ac:dyDescent="0.25">
      <c r="Q486" s="8"/>
    </row>
    <row r="487" spans="17:17" x14ac:dyDescent="0.25">
      <c r="Q487" s="8"/>
    </row>
    <row r="488" spans="17:17" x14ac:dyDescent="0.25">
      <c r="Q488" s="8"/>
    </row>
    <row r="489" spans="17:17" x14ac:dyDescent="0.25">
      <c r="Q489" s="8"/>
    </row>
    <row r="490" spans="17:17" x14ac:dyDescent="0.25">
      <c r="Q490" s="8"/>
    </row>
    <row r="491" spans="17:17" x14ac:dyDescent="0.25">
      <c r="Q491" s="8"/>
    </row>
    <row r="492" spans="17:17" x14ac:dyDescent="0.25">
      <c r="Q492" s="8"/>
    </row>
    <row r="493" spans="17:17" x14ac:dyDescent="0.25">
      <c r="Q493" s="8"/>
    </row>
    <row r="494" spans="17:17" x14ac:dyDescent="0.25">
      <c r="Q494" s="8"/>
    </row>
    <row r="495" spans="17:17" x14ac:dyDescent="0.25">
      <c r="Q495" s="8"/>
    </row>
    <row r="496" spans="17:17" x14ac:dyDescent="0.25">
      <c r="Q496" s="8"/>
    </row>
    <row r="497" spans="17:17" x14ac:dyDescent="0.25">
      <c r="Q497" s="8"/>
    </row>
    <row r="498" spans="17:17" x14ac:dyDescent="0.25">
      <c r="Q498" s="8"/>
    </row>
    <row r="499" spans="17:17" x14ac:dyDescent="0.25">
      <c r="Q499" s="8"/>
    </row>
    <row r="500" spans="17:17" x14ac:dyDescent="0.25">
      <c r="Q500" s="8"/>
    </row>
    <row r="501" spans="17:17" x14ac:dyDescent="0.25">
      <c r="Q501" s="8"/>
    </row>
    <row r="502" spans="17:17" x14ac:dyDescent="0.25">
      <c r="Q502" s="8"/>
    </row>
    <row r="503" spans="17:17" x14ac:dyDescent="0.25">
      <c r="Q503" s="8"/>
    </row>
    <row r="504" spans="17:17" x14ac:dyDescent="0.25">
      <c r="Q504" s="8"/>
    </row>
    <row r="505" spans="17:17" x14ac:dyDescent="0.25">
      <c r="Q505" s="8"/>
    </row>
    <row r="506" spans="17:17" x14ac:dyDescent="0.25">
      <c r="Q506" s="8"/>
    </row>
    <row r="507" spans="17:17" x14ac:dyDescent="0.25">
      <c r="Q507" s="8"/>
    </row>
    <row r="508" spans="17:17" x14ac:dyDescent="0.25">
      <c r="Q508" s="8"/>
    </row>
    <row r="509" spans="17:17" x14ac:dyDescent="0.25">
      <c r="Q509" s="8"/>
    </row>
    <row r="510" spans="17:17" x14ac:dyDescent="0.25">
      <c r="Q510" s="8"/>
    </row>
    <row r="511" spans="17:17" x14ac:dyDescent="0.25">
      <c r="Q511" s="8"/>
    </row>
    <row r="512" spans="17:17" x14ac:dyDescent="0.25">
      <c r="Q512" s="8"/>
    </row>
    <row r="513" spans="17:17" x14ac:dyDescent="0.25">
      <c r="Q513" s="8"/>
    </row>
    <row r="514" spans="17:17" x14ac:dyDescent="0.25">
      <c r="Q514" s="8"/>
    </row>
    <row r="515" spans="17:17" x14ac:dyDescent="0.25">
      <c r="Q515" s="8"/>
    </row>
    <row r="516" spans="17:17" x14ac:dyDescent="0.25">
      <c r="Q516" s="8"/>
    </row>
    <row r="517" spans="17:17" x14ac:dyDescent="0.25">
      <c r="Q517" s="8"/>
    </row>
    <row r="518" spans="17:17" x14ac:dyDescent="0.25">
      <c r="Q518" s="8"/>
    </row>
    <row r="519" spans="17:17" x14ac:dyDescent="0.25">
      <c r="Q519" s="8"/>
    </row>
    <row r="520" spans="17:17" x14ac:dyDescent="0.25">
      <c r="Q520" s="8"/>
    </row>
    <row r="521" spans="17:17" x14ac:dyDescent="0.25">
      <c r="Q521" s="8"/>
    </row>
    <row r="522" spans="17:17" x14ac:dyDescent="0.25">
      <c r="Q522" s="8"/>
    </row>
    <row r="523" spans="17:17" x14ac:dyDescent="0.25">
      <c r="Q523" s="8"/>
    </row>
    <row r="524" spans="17:17" x14ac:dyDescent="0.25">
      <c r="Q524" s="8"/>
    </row>
    <row r="525" spans="17:17" x14ac:dyDescent="0.25">
      <c r="Q525" s="8"/>
    </row>
    <row r="526" spans="17:17" x14ac:dyDescent="0.25">
      <c r="Q526" s="8"/>
    </row>
    <row r="527" spans="17:17" x14ac:dyDescent="0.25">
      <c r="Q527" s="8"/>
    </row>
    <row r="528" spans="17:17" x14ac:dyDescent="0.25">
      <c r="Q528" s="8"/>
    </row>
    <row r="529" spans="17:17" x14ac:dyDescent="0.25">
      <c r="Q529" s="8"/>
    </row>
    <row r="530" spans="17:17" x14ac:dyDescent="0.25">
      <c r="Q530" s="8"/>
    </row>
    <row r="531" spans="17:17" x14ac:dyDescent="0.25">
      <c r="Q531" s="8"/>
    </row>
    <row r="532" spans="17:17" x14ac:dyDescent="0.25">
      <c r="Q532" s="8"/>
    </row>
    <row r="533" spans="17:17" x14ac:dyDescent="0.25">
      <c r="Q533" s="8"/>
    </row>
    <row r="534" spans="17:17" x14ac:dyDescent="0.25">
      <c r="Q534" s="8"/>
    </row>
    <row r="535" spans="17:17" x14ac:dyDescent="0.25">
      <c r="Q535" s="8"/>
    </row>
    <row r="536" spans="17:17" x14ac:dyDescent="0.25">
      <c r="Q536" s="8"/>
    </row>
    <row r="537" spans="17:17" x14ac:dyDescent="0.25">
      <c r="Q537" s="8"/>
    </row>
    <row r="538" spans="17:17" x14ac:dyDescent="0.25">
      <c r="Q538" s="8"/>
    </row>
    <row r="539" spans="17:17" x14ac:dyDescent="0.25">
      <c r="Q539" s="8"/>
    </row>
    <row r="540" spans="17:17" x14ac:dyDescent="0.25">
      <c r="Q540" s="8"/>
    </row>
    <row r="541" spans="17:17" x14ac:dyDescent="0.25">
      <c r="Q541" s="8"/>
    </row>
    <row r="542" spans="17:17" x14ac:dyDescent="0.25">
      <c r="Q542" s="8"/>
    </row>
    <row r="543" spans="17:17" x14ac:dyDescent="0.25">
      <c r="Q543" s="8"/>
    </row>
    <row r="544" spans="17:17" x14ac:dyDescent="0.25">
      <c r="Q544" s="8"/>
    </row>
    <row r="545" spans="17:17" x14ac:dyDescent="0.25">
      <c r="Q545" s="8"/>
    </row>
    <row r="546" spans="17:17" x14ac:dyDescent="0.25">
      <c r="Q546" s="8"/>
    </row>
    <row r="547" spans="17:17" x14ac:dyDescent="0.25">
      <c r="Q547" s="8"/>
    </row>
    <row r="548" spans="17:17" x14ac:dyDescent="0.25">
      <c r="Q548" s="8"/>
    </row>
    <row r="549" spans="17:17" x14ac:dyDescent="0.25">
      <c r="Q549" s="8"/>
    </row>
    <row r="550" spans="17:17" x14ac:dyDescent="0.25">
      <c r="Q550" s="8"/>
    </row>
    <row r="551" spans="17:17" x14ac:dyDescent="0.25">
      <c r="Q551" s="8"/>
    </row>
    <row r="552" spans="17:17" x14ac:dyDescent="0.25">
      <c r="Q552" s="8"/>
    </row>
    <row r="553" spans="17:17" x14ac:dyDescent="0.25">
      <c r="Q553" s="8"/>
    </row>
    <row r="554" spans="17:17" x14ac:dyDescent="0.25">
      <c r="Q554" s="8"/>
    </row>
    <row r="555" spans="17:17" x14ac:dyDescent="0.25">
      <c r="Q555" s="8"/>
    </row>
    <row r="556" spans="17:17" x14ac:dyDescent="0.25">
      <c r="Q556" s="8"/>
    </row>
    <row r="557" spans="17:17" x14ac:dyDescent="0.25">
      <c r="Q557" s="8"/>
    </row>
    <row r="558" spans="17:17" x14ac:dyDescent="0.25">
      <c r="Q558" s="8"/>
    </row>
    <row r="559" spans="17:17" x14ac:dyDescent="0.25">
      <c r="Q559" s="8"/>
    </row>
    <row r="560" spans="17:17" x14ac:dyDescent="0.25">
      <c r="Q560" s="8"/>
    </row>
    <row r="561" spans="17:17" x14ac:dyDescent="0.25">
      <c r="Q561" s="8"/>
    </row>
    <row r="562" spans="17:17" x14ac:dyDescent="0.25">
      <c r="Q562" s="8"/>
    </row>
    <row r="563" spans="17:17" x14ac:dyDescent="0.25">
      <c r="Q563" s="8"/>
    </row>
    <row r="564" spans="17:17" x14ac:dyDescent="0.25">
      <c r="Q564" s="8"/>
    </row>
    <row r="565" spans="17:17" x14ac:dyDescent="0.25">
      <c r="Q565" s="8"/>
    </row>
    <row r="566" spans="17:17" x14ac:dyDescent="0.25">
      <c r="Q566" s="8"/>
    </row>
    <row r="567" spans="17:17" x14ac:dyDescent="0.25">
      <c r="Q567" s="8"/>
    </row>
    <row r="568" spans="17:17" x14ac:dyDescent="0.25">
      <c r="Q568" s="8"/>
    </row>
    <row r="569" spans="17:17" x14ac:dyDescent="0.25">
      <c r="Q569" s="8"/>
    </row>
    <row r="570" spans="17:17" x14ac:dyDescent="0.25">
      <c r="Q570" s="8"/>
    </row>
    <row r="571" spans="17:17" x14ac:dyDescent="0.25">
      <c r="Q571" s="8"/>
    </row>
    <row r="572" spans="17:17" x14ac:dyDescent="0.25">
      <c r="Q572" s="8"/>
    </row>
    <row r="573" spans="17:17" x14ac:dyDescent="0.25">
      <c r="Q573" s="8"/>
    </row>
    <row r="574" spans="17:17" x14ac:dyDescent="0.25">
      <c r="Q574" s="8"/>
    </row>
    <row r="575" spans="17:17" x14ac:dyDescent="0.25">
      <c r="Q575" s="8"/>
    </row>
    <row r="576" spans="17:17" x14ac:dyDescent="0.25">
      <c r="Q576" s="8"/>
    </row>
    <row r="577" spans="17:17" x14ac:dyDescent="0.25">
      <c r="Q577" s="8"/>
    </row>
    <row r="578" spans="17:17" x14ac:dyDescent="0.25">
      <c r="Q578" s="8"/>
    </row>
    <row r="579" spans="17:17" x14ac:dyDescent="0.25">
      <c r="Q579" s="8"/>
    </row>
    <row r="580" spans="17:17" x14ac:dyDescent="0.25">
      <c r="Q580" s="8"/>
    </row>
    <row r="581" spans="17:17" x14ac:dyDescent="0.25">
      <c r="Q581" s="8"/>
    </row>
    <row r="582" spans="17:17" x14ac:dyDescent="0.25">
      <c r="Q582" s="8"/>
    </row>
    <row r="583" spans="17:17" x14ac:dyDescent="0.25">
      <c r="Q583" s="8"/>
    </row>
    <row r="584" spans="17:17" x14ac:dyDescent="0.25">
      <c r="Q584" s="8"/>
    </row>
    <row r="585" spans="17:17" x14ac:dyDescent="0.25">
      <c r="Q585" s="8"/>
    </row>
    <row r="586" spans="17:17" x14ac:dyDescent="0.25">
      <c r="Q586" s="8"/>
    </row>
    <row r="587" spans="17:17" x14ac:dyDescent="0.25">
      <c r="Q587" s="8"/>
    </row>
    <row r="588" spans="17:17" x14ac:dyDescent="0.25">
      <c r="Q588" s="8"/>
    </row>
    <row r="589" spans="17:17" x14ac:dyDescent="0.25">
      <c r="Q589" s="8"/>
    </row>
    <row r="590" spans="17:17" x14ac:dyDescent="0.25">
      <c r="Q590" s="8"/>
    </row>
    <row r="591" spans="17:17" x14ac:dyDescent="0.25">
      <c r="Q591" s="8"/>
    </row>
    <row r="592" spans="17:17" x14ac:dyDescent="0.25">
      <c r="Q592" s="8"/>
    </row>
    <row r="593" spans="17:17" x14ac:dyDescent="0.25">
      <c r="Q593" s="8"/>
    </row>
    <row r="594" spans="17:17" x14ac:dyDescent="0.25">
      <c r="Q594" s="8"/>
    </row>
    <row r="595" spans="17:17" x14ac:dyDescent="0.25">
      <c r="Q595" s="8"/>
    </row>
    <row r="596" spans="17:17" x14ac:dyDescent="0.25">
      <c r="Q596" s="8"/>
    </row>
    <row r="597" spans="17:17" x14ac:dyDescent="0.25">
      <c r="Q597" s="8"/>
    </row>
    <row r="598" spans="17:17" x14ac:dyDescent="0.25">
      <c r="Q598" s="8"/>
    </row>
    <row r="599" spans="17:17" x14ac:dyDescent="0.25">
      <c r="Q599" s="8"/>
    </row>
    <row r="600" spans="17:17" x14ac:dyDescent="0.25">
      <c r="Q600" s="8"/>
    </row>
    <row r="601" spans="17:17" x14ac:dyDescent="0.25">
      <c r="Q601" s="8"/>
    </row>
    <row r="602" spans="17:17" x14ac:dyDescent="0.25">
      <c r="Q602" s="8"/>
    </row>
    <row r="603" spans="17:17" x14ac:dyDescent="0.25">
      <c r="Q603" s="8"/>
    </row>
    <row r="604" spans="17:17" x14ac:dyDescent="0.25">
      <c r="Q604" s="8"/>
    </row>
    <row r="605" spans="17:17" x14ac:dyDescent="0.25">
      <c r="Q605" s="8"/>
    </row>
    <row r="606" spans="17:17" x14ac:dyDescent="0.25">
      <c r="Q606" s="8"/>
    </row>
    <row r="607" spans="17:17" x14ac:dyDescent="0.25">
      <c r="Q607" s="8"/>
    </row>
    <row r="608" spans="17:17" x14ac:dyDescent="0.25">
      <c r="Q608" s="8"/>
    </row>
    <row r="609" spans="17:17" x14ac:dyDescent="0.25">
      <c r="Q609" s="8"/>
    </row>
    <row r="610" spans="17:17" x14ac:dyDescent="0.25">
      <c r="Q610" s="8"/>
    </row>
    <row r="611" spans="17:17" x14ac:dyDescent="0.25">
      <c r="Q611" s="8"/>
    </row>
    <row r="612" spans="17:17" x14ac:dyDescent="0.25">
      <c r="Q612" s="8"/>
    </row>
    <row r="613" spans="17:17" x14ac:dyDescent="0.25">
      <c r="Q613" s="8"/>
    </row>
    <row r="614" spans="17:17" x14ac:dyDescent="0.25">
      <c r="Q614" s="8"/>
    </row>
    <row r="615" spans="17:17" x14ac:dyDescent="0.25">
      <c r="Q615" s="8"/>
    </row>
    <row r="616" spans="17:17" x14ac:dyDescent="0.25">
      <c r="Q616" s="8"/>
    </row>
    <row r="617" spans="17:17" x14ac:dyDescent="0.25">
      <c r="Q617" s="8"/>
    </row>
    <row r="618" spans="17:17" x14ac:dyDescent="0.25">
      <c r="Q618" s="8"/>
    </row>
    <row r="619" spans="17:17" x14ac:dyDescent="0.25">
      <c r="Q619" s="8"/>
    </row>
    <row r="620" spans="17:17" x14ac:dyDescent="0.25">
      <c r="Q620" s="8"/>
    </row>
    <row r="621" spans="17:17" x14ac:dyDescent="0.25">
      <c r="Q621" s="8"/>
    </row>
    <row r="622" spans="17:17" x14ac:dyDescent="0.25">
      <c r="Q622" s="8"/>
    </row>
    <row r="623" spans="17:17" x14ac:dyDescent="0.25">
      <c r="Q623" s="8"/>
    </row>
    <row r="624" spans="17:17" x14ac:dyDescent="0.25">
      <c r="Q624" s="8"/>
    </row>
    <row r="625" spans="17:17" x14ac:dyDescent="0.25">
      <c r="Q625" s="8"/>
    </row>
    <row r="626" spans="17:17" x14ac:dyDescent="0.25">
      <c r="Q626" s="8"/>
    </row>
    <row r="627" spans="17:17" x14ac:dyDescent="0.25">
      <c r="Q627" s="8"/>
    </row>
    <row r="628" spans="17:17" x14ac:dyDescent="0.25">
      <c r="Q628" s="8"/>
    </row>
    <row r="629" spans="17:17" x14ac:dyDescent="0.25">
      <c r="Q629" s="8"/>
    </row>
    <row r="630" spans="17:17" x14ac:dyDescent="0.25">
      <c r="Q630" s="8"/>
    </row>
    <row r="631" spans="17:17" x14ac:dyDescent="0.25">
      <c r="Q631" s="8"/>
    </row>
    <row r="632" spans="17:17" x14ac:dyDescent="0.25">
      <c r="Q632" s="8"/>
    </row>
    <row r="633" spans="17:17" x14ac:dyDescent="0.25">
      <c r="Q633" s="8"/>
    </row>
    <row r="634" spans="17:17" x14ac:dyDescent="0.25">
      <c r="Q634" s="8"/>
    </row>
    <row r="635" spans="17:17" x14ac:dyDescent="0.25">
      <c r="Q635" s="8"/>
    </row>
    <row r="636" spans="17:17" x14ac:dyDescent="0.25">
      <c r="Q636" s="8"/>
    </row>
    <row r="637" spans="17:17" x14ac:dyDescent="0.25">
      <c r="Q637" s="8"/>
    </row>
    <row r="638" spans="17:17" x14ac:dyDescent="0.25">
      <c r="Q638" s="8"/>
    </row>
    <row r="639" spans="17:17" x14ac:dyDescent="0.25">
      <c r="Q639" s="8"/>
    </row>
    <row r="640" spans="17:17" x14ac:dyDescent="0.25">
      <c r="Q640" s="8"/>
    </row>
    <row r="641" spans="17:17" x14ac:dyDescent="0.25">
      <c r="Q641" s="8"/>
    </row>
    <row r="642" spans="17:17" x14ac:dyDescent="0.25">
      <c r="Q642" s="8"/>
    </row>
    <row r="643" spans="17:17" x14ac:dyDescent="0.25">
      <c r="Q643" s="8"/>
    </row>
    <row r="644" spans="17:17" x14ac:dyDescent="0.25">
      <c r="Q644" s="8"/>
    </row>
    <row r="645" spans="17:17" x14ac:dyDescent="0.25">
      <c r="Q645" s="8"/>
    </row>
    <row r="646" spans="17:17" x14ac:dyDescent="0.25">
      <c r="Q646" s="8"/>
    </row>
    <row r="647" spans="17:17" x14ac:dyDescent="0.25">
      <c r="Q647" s="8"/>
    </row>
    <row r="648" spans="17:17" x14ac:dyDescent="0.25">
      <c r="Q648" s="8"/>
    </row>
    <row r="649" spans="17:17" x14ac:dyDescent="0.25">
      <c r="Q649" s="8"/>
    </row>
    <row r="650" spans="17:17" x14ac:dyDescent="0.25">
      <c r="Q650" s="8"/>
    </row>
    <row r="651" spans="17:17" x14ac:dyDescent="0.25">
      <c r="Q651" s="8"/>
    </row>
    <row r="652" spans="17:17" x14ac:dyDescent="0.25">
      <c r="Q652" s="8"/>
    </row>
    <row r="653" spans="17:17" x14ac:dyDescent="0.25">
      <c r="Q653" s="8"/>
    </row>
    <row r="654" spans="17:17" x14ac:dyDescent="0.25">
      <c r="Q654" s="8"/>
    </row>
    <row r="655" spans="17:17" x14ac:dyDescent="0.25">
      <c r="Q655" s="8"/>
    </row>
    <row r="656" spans="17:17" x14ac:dyDescent="0.25">
      <c r="Q656" s="8"/>
    </row>
    <row r="657" spans="17:17" x14ac:dyDescent="0.25">
      <c r="Q657" s="8"/>
    </row>
    <row r="658" spans="17:17" x14ac:dyDescent="0.25">
      <c r="Q658" s="8"/>
    </row>
    <row r="659" spans="17:17" x14ac:dyDescent="0.25">
      <c r="Q659" s="8"/>
    </row>
    <row r="660" spans="17:17" x14ac:dyDescent="0.25">
      <c r="Q660" s="8"/>
    </row>
    <row r="661" spans="17:17" x14ac:dyDescent="0.25">
      <c r="Q661" s="8"/>
    </row>
    <row r="662" spans="17:17" x14ac:dyDescent="0.25">
      <c r="Q662" s="8"/>
    </row>
    <row r="663" spans="17:17" x14ac:dyDescent="0.25">
      <c r="Q663" s="8"/>
    </row>
    <row r="664" spans="17:17" x14ac:dyDescent="0.25">
      <c r="Q664" s="8"/>
    </row>
    <row r="665" spans="17:17" x14ac:dyDescent="0.25">
      <c r="Q665" s="8"/>
    </row>
    <row r="666" spans="17:17" x14ac:dyDescent="0.25">
      <c r="Q666" s="8"/>
    </row>
    <row r="667" spans="17:17" x14ac:dyDescent="0.25">
      <c r="Q667" s="8"/>
    </row>
    <row r="668" spans="17:17" x14ac:dyDescent="0.25">
      <c r="Q668" s="8"/>
    </row>
    <row r="669" spans="17:17" x14ac:dyDescent="0.25">
      <c r="Q669" s="8"/>
    </row>
    <row r="670" spans="17:17" x14ac:dyDescent="0.25">
      <c r="Q670" s="8"/>
    </row>
    <row r="671" spans="17:17" x14ac:dyDescent="0.25">
      <c r="Q671" s="8"/>
    </row>
    <row r="672" spans="17:17" x14ac:dyDescent="0.25">
      <c r="Q672" s="8"/>
    </row>
    <row r="673" spans="17:17" x14ac:dyDescent="0.25">
      <c r="Q673" s="8"/>
    </row>
    <row r="674" spans="17:17" x14ac:dyDescent="0.25">
      <c r="Q674" s="8"/>
    </row>
    <row r="675" spans="17:17" x14ac:dyDescent="0.25">
      <c r="Q675" s="8"/>
    </row>
    <row r="676" spans="17:17" x14ac:dyDescent="0.25">
      <c r="Q676" s="8"/>
    </row>
    <row r="677" spans="17:17" x14ac:dyDescent="0.25">
      <c r="Q677" s="8"/>
    </row>
    <row r="678" spans="17:17" x14ac:dyDescent="0.25">
      <c r="Q678" s="8"/>
    </row>
    <row r="679" spans="17:17" x14ac:dyDescent="0.25">
      <c r="Q679" s="8"/>
    </row>
    <row r="680" spans="17:17" x14ac:dyDescent="0.25">
      <c r="Q680" s="8"/>
    </row>
    <row r="681" spans="17:17" x14ac:dyDescent="0.25">
      <c r="Q681" s="8"/>
    </row>
    <row r="682" spans="17:17" x14ac:dyDescent="0.25">
      <c r="Q682" s="8"/>
    </row>
    <row r="683" spans="17:17" x14ac:dyDescent="0.25">
      <c r="Q683" s="8"/>
    </row>
    <row r="684" spans="17:17" x14ac:dyDescent="0.25">
      <c r="Q684" s="8"/>
    </row>
    <row r="685" spans="17:17" x14ac:dyDescent="0.25">
      <c r="Q685" s="8"/>
    </row>
    <row r="686" spans="17:17" x14ac:dyDescent="0.25">
      <c r="Q686" s="8"/>
    </row>
    <row r="687" spans="17:17" x14ac:dyDescent="0.25">
      <c r="Q687" s="8"/>
    </row>
    <row r="688" spans="17:17" x14ac:dyDescent="0.25">
      <c r="Q688" s="8"/>
    </row>
    <row r="689" spans="17:17" x14ac:dyDescent="0.25">
      <c r="Q689" s="8"/>
    </row>
    <row r="690" spans="17:17" x14ac:dyDescent="0.25">
      <c r="Q690" s="8"/>
    </row>
    <row r="691" spans="17:17" x14ac:dyDescent="0.25">
      <c r="Q691" s="8"/>
    </row>
    <row r="692" spans="17:17" x14ac:dyDescent="0.25">
      <c r="Q692" s="8"/>
    </row>
    <row r="693" spans="17:17" x14ac:dyDescent="0.25">
      <c r="Q693" s="8"/>
    </row>
    <row r="694" spans="17:17" x14ac:dyDescent="0.25">
      <c r="Q694" s="8"/>
    </row>
    <row r="695" spans="17:17" x14ac:dyDescent="0.25">
      <c r="Q695" s="8"/>
    </row>
    <row r="696" spans="17:17" x14ac:dyDescent="0.25">
      <c r="Q696" s="8"/>
    </row>
    <row r="697" spans="17:17" x14ac:dyDescent="0.25">
      <c r="Q697" s="8"/>
    </row>
    <row r="698" spans="17:17" x14ac:dyDescent="0.25">
      <c r="Q698" s="8"/>
    </row>
    <row r="699" spans="17:17" x14ac:dyDescent="0.25">
      <c r="Q699" s="8"/>
    </row>
    <row r="700" spans="17:17" x14ac:dyDescent="0.25">
      <c r="Q700" s="8"/>
    </row>
    <row r="701" spans="17:17" x14ac:dyDescent="0.25">
      <c r="Q701" s="8"/>
    </row>
    <row r="702" spans="17:17" x14ac:dyDescent="0.25">
      <c r="Q702" s="8"/>
    </row>
    <row r="703" spans="17:17" x14ac:dyDescent="0.25">
      <c r="Q703" s="8"/>
    </row>
    <row r="704" spans="17:17" x14ac:dyDescent="0.25">
      <c r="Q704" s="8"/>
    </row>
    <row r="705" spans="17:17" x14ac:dyDescent="0.25">
      <c r="Q705" s="8"/>
    </row>
    <row r="706" spans="17:17" x14ac:dyDescent="0.25">
      <c r="Q706" s="8"/>
    </row>
    <row r="707" spans="17:17" x14ac:dyDescent="0.25">
      <c r="Q707" s="8"/>
    </row>
    <row r="708" spans="17:17" x14ac:dyDescent="0.25">
      <c r="Q708" s="8"/>
    </row>
    <row r="709" spans="17:17" x14ac:dyDescent="0.25">
      <c r="Q709" s="8"/>
    </row>
    <row r="710" spans="17:17" x14ac:dyDescent="0.25">
      <c r="Q710" s="8"/>
    </row>
    <row r="711" spans="17:17" x14ac:dyDescent="0.25">
      <c r="Q711" s="8"/>
    </row>
    <row r="712" spans="17:17" x14ac:dyDescent="0.25">
      <c r="Q712" s="8"/>
    </row>
    <row r="713" spans="17:17" x14ac:dyDescent="0.25">
      <c r="Q713" s="8"/>
    </row>
    <row r="714" spans="17:17" x14ac:dyDescent="0.25">
      <c r="Q714" s="8"/>
    </row>
    <row r="715" spans="17:17" x14ac:dyDescent="0.25">
      <c r="Q715" s="8"/>
    </row>
    <row r="716" spans="17:17" x14ac:dyDescent="0.25">
      <c r="Q716" s="8"/>
    </row>
    <row r="717" spans="17:17" x14ac:dyDescent="0.25">
      <c r="Q717" s="8"/>
    </row>
    <row r="718" spans="17:17" x14ac:dyDescent="0.25">
      <c r="Q718" s="8"/>
    </row>
    <row r="719" spans="17:17" x14ac:dyDescent="0.25">
      <c r="Q719" s="8"/>
    </row>
    <row r="720" spans="17:17" x14ac:dyDescent="0.25">
      <c r="Q720" s="8"/>
    </row>
    <row r="721" spans="17:17" x14ac:dyDescent="0.25">
      <c r="Q721" s="8"/>
    </row>
    <row r="722" spans="17:17" x14ac:dyDescent="0.25">
      <c r="Q722" s="8"/>
    </row>
    <row r="723" spans="17:17" x14ac:dyDescent="0.25">
      <c r="Q723" s="8"/>
    </row>
    <row r="724" spans="17:17" x14ac:dyDescent="0.25">
      <c r="Q724" s="8"/>
    </row>
    <row r="725" spans="17:17" x14ac:dyDescent="0.25">
      <c r="Q725" s="8"/>
    </row>
    <row r="726" spans="17:17" x14ac:dyDescent="0.25">
      <c r="Q726" s="8"/>
    </row>
    <row r="727" spans="17:17" x14ac:dyDescent="0.25">
      <c r="Q727" s="8"/>
    </row>
    <row r="728" spans="17:17" x14ac:dyDescent="0.25">
      <c r="Q728" s="8"/>
    </row>
    <row r="729" spans="17:17" x14ac:dyDescent="0.25">
      <c r="Q729" s="8"/>
    </row>
    <row r="730" spans="17:17" x14ac:dyDescent="0.25">
      <c r="Q730" s="8"/>
    </row>
    <row r="731" spans="17:17" x14ac:dyDescent="0.25">
      <c r="Q731" s="8"/>
    </row>
    <row r="732" spans="17:17" x14ac:dyDescent="0.25">
      <c r="Q732" s="8"/>
    </row>
    <row r="733" spans="17:17" x14ac:dyDescent="0.25">
      <c r="Q733" s="8"/>
    </row>
    <row r="734" spans="17:17" x14ac:dyDescent="0.25">
      <c r="Q734" s="8"/>
    </row>
    <row r="735" spans="17:17" x14ac:dyDescent="0.25">
      <c r="Q735" s="8"/>
    </row>
    <row r="736" spans="17:17" x14ac:dyDescent="0.25">
      <c r="Q736" s="8"/>
    </row>
    <row r="737" spans="17:17" x14ac:dyDescent="0.25">
      <c r="Q737" s="8"/>
    </row>
    <row r="738" spans="17:17" x14ac:dyDescent="0.25">
      <c r="Q738" s="8"/>
    </row>
    <row r="739" spans="17:17" x14ac:dyDescent="0.25">
      <c r="Q739" s="8"/>
    </row>
    <row r="740" spans="17:17" x14ac:dyDescent="0.25">
      <c r="Q740" s="8"/>
    </row>
    <row r="741" spans="17:17" x14ac:dyDescent="0.25">
      <c r="Q741" s="8"/>
    </row>
    <row r="742" spans="17:17" x14ac:dyDescent="0.25">
      <c r="Q742" s="8"/>
    </row>
    <row r="743" spans="17:17" x14ac:dyDescent="0.25">
      <c r="Q743" s="8"/>
    </row>
    <row r="744" spans="17:17" x14ac:dyDescent="0.25">
      <c r="Q744" s="8"/>
    </row>
    <row r="745" spans="17:17" x14ac:dyDescent="0.25">
      <c r="Q745" s="8"/>
    </row>
    <row r="746" spans="17:17" x14ac:dyDescent="0.25">
      <c r="Q746" s="8"/>
    </row>
    <row r="747" spans="17:17" x14ac:dyDescent="0.25">
      <c r="Q747" s="8"/>
    </row>
    <row r="748" spans="17:17" x14ac:dyDescent="0.25">
      <c r="Q748" s="8"/>
    </row>
    <row r="749" spans="17:17" x14ac:dyDescent="0.25">
      <c r="Q749" s="8"/>
    </row>
    <row r="750" spans="17:17" x14ac:dyDescent="0.25">
      <c r="Q750" s="8"/>
    </row>
    <row r="751" spans="17:17" x14ac:dyDescent="0.25">
      <c r="Q751" s="8"/>
    </row>
    <row r="752" spans="17:17" x14ac:dyDescent="0.25">
      <c r="Q752" s="8"/>
    </row>
    <row r="753" spans="17:17" x14ac:dyDescent="0.25">
      <c r="Q753" s="8"/>
    </row>
    <row r="754" spans="17:17" x14ac:dyDescent="0.25">
      <c r="Q754" s="8"/>
    </row>
    <row r="755" spans="17:17" x14ac:dyDescent="0.25">
      <c r="Q755" s="8"/>
    </row>
    <row r="756" spans="17:17" x14ac:dyDescent="0.25">
      <c r="Q756" s="8"/>
    </row>
    <row r="757" spans="17:17" x14ac:dyDescent="0.25">
      <c r="Q757" s="8"/>
    </row>
    <row r="758" spans="17:17" x14ac:dyDescent="0.25">
      <c r="Q758" s="8"/>
    </row>
    <row r="759" spans="17:17" x14ac:dyDescent="0.25">
      <c r="Q759" s="8"/>
    </row>
    <row r="760" spans="17:17" x14ac:dyDescent="0.25">
      <c r="Q760" s="8"/>
    </row>
    <row r="761" spans="17:17" x14ac:dyDescent="0.25">
      <c r="Q761" s="8"/>
    </row>
    <row r="762" spans="17:17" x14ac:dyDescent="0.25">
      <c r="Q762" s="8"/>
    </row>
    <row r="763" spans="17:17" x14ac:dyDescent="0.25">
      <c r="Q763" s="8"/>
    </row>
    <row r="764" spans="17:17" x14ac:dyDescent="0.25">
      <c r="Q764" s="8"/>
    </row>
    <row r="765" spans="17:17" x14ac:dyDescent="0.25">
      <c r="Q765" s="8"/>
    </row>
    <row r="766" spans="17:17" x14ac:dyDescent="0.25">
      <c r="Q766" s="8"/>
    </row>
    <row r="767" spans="17:17" x14ac:dyDescent="0.25">
      <c r="Q767" s="8"/>
    </row>
    <row r="768" spans="17:17" x14ac:dyDescent="0.25">
      <c r="Q768" s="8"/>
    </row>
    <row r="769" spans="17:17" x14ac:dyDescent="0.25">
      <c r="Q769" s="8"/>
    </row>
    <row r="770" spans="17:17" x14ac:dyDescent="0.25">
      <c r="Q770" s="8"/>
    </row>
    <row r="771" spans="17:17" x14ac:dyDescent="0.25">
      <c r="Q771" s="8"/>
    </row>
    <row r="772" spans="17:17" x14ac:dyDescent="0.25">
      <c r="Q772" s="8"/>
    </row>
    <row r="773" spans="17:17" x14ac:dyDescent="0.25">
      <c r="Q773" s="8"/>
    </row>
    <row r="774" spans="17:17" x14ac:dyDescent="0.25">
      <c r="Q774" s="8"/>
    </row>
    <row r="775" spans="17:17" x14ac:dyDescent="0.25">
      <c r="Q775" s="8"/>
    </row>
    <row r="776" spans="17:17" x14ac:dyDescent="0.25">
      <c r="Q776" s="8"/>
    </row>
    <row r="777" spans="17:17" x14ac:dyDescent="0.25">
      <c r="Q777" s="8"/>
    </row>
    <row r="778" spans="17:17" x14ac:dyDescent="0.25">
      <c r="Q778" s="8"/>
    </row>
    <row r="779" spans="17:17" x14ac:dyDescent="0.25">
      <c r="Q779" s="8"/>
    </row>
    <row r="780" spans="17:17" x14ac:dyDescent="0.25">
      <c r="Q780" s="8"/>
    </row>
    <row r="781" spans="17:17" x14ac:dyDescent="0.25">
      <c r="Q781" s="8"/>
    </row>
    <row r="782" spans="17:17" x14ac:dyDescent="0.25">
      <c r="Q782" s="8"/>
    </row>
    <row r="783" spans="17:17" x14ac:dyDescent="0.25">
      <c r="Q783" s="8"/>
    </row>
    <row r="784" spans="17:17" x14ac:dyDescent="0.25">
      <c r="Q784" s="8"/>
    </row>
    <row r="785" spans="17:17" x14ac:dyDescent="0.25">
      <c r="Q785" s="8"/>
    </row>
    <row r="786" spans="17:17" x14ac:dyDescent="0.25">
      <c r="Q786" s="8"/>
    </row>
    <row r="787" spans="17:17" x14ac:dyDescent="0.25">
      <c r="Q787" s="8"/>
    </row>
    <row r="788" spans="17:17" x14ac:dyDescent="0.25">
      <c r="Q788" s="8"/>
    </row>
    <row r="789" spans="17:17" x14ac:dyDescent="0.25">
      <c r="Q789" s="8"/>
    </row>
    <row r="790" spans="17:17" x14ac:dyDescent="0.25">
      <c r="Q790" s="8"/>
    </row>
    <row r="791" spans="17:17" x14ac:dyDescent="0.25">
      <c r="Q791" s="8"/>
    </row>
    <row r="792" spans="17:17" x14ac:dyDescent="0.25">
      <c r="Q792" s="8"/>
    </row>
    <row r="793" spans="17:17" x14ac:dyDescent="0.25">
      <c r="Q793" s="8"/>
    </row>
    <row r="794" spans="17:17" x14ac:dyDescent="0.25">
      <c r="Q794" s="8"/>
    </row>
    <row r="795" spans="17:17" x14ac:dyDescent="0.25">
      <c r="Q795" s="8"/>
    </row>
    <row r="796" spans="17:17" x14ac:dyDescent="0.25">
      <c r="Q796" s="8"/>
    </row>
    <row r="797" spans="17:17" x14ac:dyDescent="0.25">
      <c r="Q797" s="8"/>
    </row>
    <row r="798" spans="17:17" x14ac:dyDescent="0.25">
      <c r="Q798" s="8"/>
    </row>
    <row r="799" spans="17:17" x14ac:dyDescent="0.25">
      <c r="Q799" s="8"/>
    </row>
    <row r="800" spans="17:17" x14ac:dyDescent="0.25">
      <c r="Q800" s="8"/>
    </row>
    <row r="801" spans="17:17" x14ac:dyDescent="0.25">
      <c r="Q801" s="8"/>
    </row>
    <row r="802" spans="17:17" x14ac:dyDescent="0.25">
      <c r="Q802" s="8"/>
    </row>
    <row r="803" spans="17:17" x14ac:dyDescent="0.25">
      <c r="Q803" s="8"/>
    </row>
    <row r="804" spans="17:17" x14ac:dyDescent="0.25">
      <c r="Q804" s="8"/>
    </row>
    <row r="805" spans="17:17" x14ac:dyDescent="0.25">
      <c r="Q805" s="8"/>
    </row>
    <row r="806" spans="17:17" x14ac:dyDescent="0.25">
      <c r="Q806" s="8"/>
    </row>
    <row r="807" spans="17:17" x14ac:dyDescent="0.25">
      <c r="Q807" s="8"/>
    </row>
    <row r="808" spans="17:17" x14ac:dyDescent="0.25">
      <c r="Q808" s="8"/>
    </row>
    <row r="809" spans="17:17" x14ac:dyDescent="0.25">
      <c r="Q809" s="8"/>
    </row>
    <row r="810" spans="17:17" x14ac:dyDescent="0.25">
      <c r="Q810" s="8"/>
    </row>
    <row r="811" spans="17:17" x14ac:dyDescent="0.25">
      <c r="Q811" s="8"/>
    </row>
    <row r="812" spans="17:17" x14ac:dyDescent="0.25">
      <c r="Q812" s="8"/>
    </row>
    <row r="813" spans="17:17" x14ac:dyDescent="0.25">
      <c r="Q813" s="8"/>
    </row>
    <row r="814" spans="17:17" x14ac:dyDescent="0.25">
      <c r="Q814" s="8"/>
    </row>
    <row r="815" spans="17:17" x14ac:dyDescent="0.25">
      <c r="Q815" s="8"/>
    </row>
    <row r="816" spans="17:17" x14ac:dyDescent="0.25">
      <c r="Q816" s="8"/>
    </row>
    <row r="817" spans="17:17" x14ac:dyDescent="0.25">
      <c r="Q817" s="8"/>
    </row>
    <row r="818" spans="17:17" x14ac:dyDescent="0.25">
      <c r="Q818" s="8"/>
    </row>
    <row r="819" spans="17:17" x14ac:dyDescent="0.25">
      <c r="Q819" s="8"/>
    </row>
    <row r="820" spans="17:17" x14ac:dyDescent="0.25">
      <c r="Q820" s="8"/>
    </row>
    <row r="821" spans="17:17" x14ac:dyDescent="0.25">
      <c r="Q821" s="8"/>
    </row>
    <row r="822" spans="17:17" x14ac:dyDescent="0.25">
      <c r="Q822" s="8"/>
    </row>
    <row r="823" spans="17:17" x14ac:dyDescent="0.25">
      <c r="Q823" s="8"/>
    </row>
    <row r="824" spans="17:17" x14ac:dyDescent="0.25">
      <c r="Q824" s="8"/>
    </row>
    <row r="825" spans="17:17" x14ac:dyDescent="0.25">
      <c r="Q825" s="8"/>
    </row>
    <row r="826" spans="17:17" x14ac:dyDescent="0.25">
      <c r="Q826" s="8"/>
    </row>
    <row r="827" spans="17:17" x14ac:dyDescent="0.25">
      <c r="Q827" s="8"/>
    </row>
    <row r="828" spans="17:17" x14ac:dyDescent="0.25">
      <c r="Q828" s="8"/>
    </row>
    <row r="829" spans="17:17" x14ac:dyDescent="0.25">
      <c r="Q829" s="8"/>
    </row>
    <row r="830" spans="17:17" x14ac:dyDescent="0.25">
      <c r="Q830" s="8"/>
    </row>
    <row r="831" spans="17:17" x14ac:dyDescent="0.25">
      <c r="Q831" s="8"/>
    </row>
    <row r="832" spans="17:17" x14ac:dyDescent="0.25">
      <c r="Q832" s="8"/>
    </row>
    <row r="833" spans="17:17" x14ac:dyDescent="0.25">
      <c r="Q833" s="8"/>
    </row>
    <row r="834" spans="17:17" x14ac:dyDescent="0.25">
      <c r="Q834" s="8"/>
    </row>
    <row r="835" spans="17:17" x14ac:dyDescent="0.25">
      <c r="Q835" s="8"/>
    </row>
    <row r="836" spans="17:17" x14ac:dyDescent="0.25">
      <c r="Q836" s="8"/>
    </row>
    <row r="837" spans="17:17" x14ac:dyDescent="0.25">
      <c r="Q837" s="8"/>
    </row>
    <row r="838" spans="17:17" x14ac:dyDescent="0.25">
      <c r="Q838" s="8"/>
    </row>
    <row r="839" spans="17:17" x14ac:dyDescent="0.25">
      <c r="Q839" s="8"/>
    </row>
    <row r="840" spans="17:17" x14ac:dyDescent="0.25">
      <c r="Q840" s="8"/>
    </row>
    <row r="841" spans="17:17" x14ac:dyDescent="0.25">
      <c r="Q841" s="8"/>
    </row>
    <row r="842" spans="17:17" x14ac:dyDescent="0.25">
      <c r="Q842" s="8"/>
    </row>
    <row r="843" spans="17:17" x14ac:dyDescent="0.25">
      <c r="Q843" s="8"/>
    </row>
    <row r="844" spans="17:17" x14ac:dyDescent="0.25">
      <c r="Q844" s="8"/>
    </row>
    <row r="845" spans="17:17" x14ac:dyDescent="0.25">
      <c r="Q845" s="8"/>
    </row>
    <row r="846" spans="17:17" x14ac:dyDescent="0.25">
      <c r="Q846" s="8"/>
    </row>
    <row r="847" spans="17:17" x14ac:dyDescent="0.25">
      <c r="Q847" s="8"/>
    </row>
    <row r="848" spans="17:17" x14ac:dyDescent="0.25">
      <c r="Q848" s="8"/>
    </row>
    <row r="849" spans="17:17" x14ac:dyDescent="0.25">
      <c r="Q849" s="8"/>
    </row>
    <row r="850" spans="17:17" x14ac:dyDescent="0.25">
      <c r="Q850" s="8"/>
    </row>
    <row r="851" spans="17:17" x14ac:dyDescent="0.25">
      <c r="Q851" s="8"/>
    </row>
    <row r="852" spans="17:17" x14ac:dyDescent="0.25">
      <c r="Q852" s="8"/>
    </row>
    <row r="853" spans="17:17" x14ac:dyDescent="0.25">
      <c r="Q853" s="8"/>
    </row>
    <row r="854" spans="17:17" x14ac:dyDescent="0.25">
      <c r="Q854" s="8"/>
    </row>
    <row r="855" spans="17:17" x14ac:dyDescent="0.25">
      <c r="Q855" s="8"/>
    </row>
    <row r="856" spans="17:17" x14ac:dyDescent="0.25">
      <c r="Q856" s="8"/>
    </row>
    <row r="857" spans="17:17" x14ac:dyDescent="0.25">
      <c r="Q857" s="8"/>
    </row>
    <row r="858" spans="17:17" x14ac:dyDescent="0.25">
      <c r="Q858" s="8"/>
    </row>
    <row r="859" spans="17:17" x14ac:dyDescent="0.25">
      <c r="Q859" s="8"/>
    </row>
    <row r="860" spans="17:17" x14ac:dyDescent="0.25">
      <c r="Q860" s="8"/>
    </row>
    <row r="861" spans="17:17" x14ac:dyDescent="0.25">
      <c r="Q861" s="8"/>
    </row>
    <row r="862" spans="17:17" x14ac:dyDescent="0.25">
      <c r="Q862" s="8"/>
    </row>
    <row r="863" spans="17:17" x14ac:dyDescent="0.25">
      <c r="Q863" s="8"/>
    </row>
    <row r="864" spans="17:17" x14ac:dyDescent="0.25">
      <c r="Q864" s="8"/>
    </row>
    <row r="865" spans="17:17" x14ac:dyDescent="0.25">
      <c r="Q865" s="8"/>
    </row>
    <row r="866" spans="17:17" x14ac:dyDescent="0.25">
      <c r="Q866" s="8"/>
    </row>
    <row r="867" spans="17:17" x14ac:dyDescent="0.25">
      <c r="Q867" s="8"/>
    </row>
    <row r="868" spans="17:17" x14ac:dyDescent="0.25">
      <c r="Q868" s="8"/>
    </row>
    <row r="869" spans="17:17" x14ac:dyDescent="0.25">
      <c r="Q869" s="8"/>
    </row>
    <row r="870" spans="17:17" x14ac:dyDescent="0.25">
      <c r="Q870" s="8"/>
    </row>
    <row r="871" spans="17:17" x14ac:dyDescent="0.25">
      <c r="Q871" s="8"/>
    </row>
    <row r="872" spans="17:17" x14ac:dyDescent="0.25">
      <c r="Q872" s="8"/>
    </row>
    <row r="873" spans="17:17" x14ac:dyDescent="0.25">
      <c r="Q873" s="8"/>
    </row>
    <row r="874" spans="17:17" x14ac:dyDescent="0.25">
      <c r="Q874" s="8"/>
    </row>
    <row r="875" spans="17:17" x14ac:dyDescent="0.25">
      <c r="Q875" s="8"/>
    </row>
    <row r="876" spans="17:17" x14ac:dyDescent="0.25">
      <c r="Q876" s="8"/>
    </row>
    <row r="877" spans="17:17" x14ac:dyDescent="0.25">
      <c r="Q877" s="8"/>
    </row>
    <row r="878" spans="17:17" x14ac:dyDescent="0.25">
      <c r="Q878" s="8"/>
    </row>
    <row r="879" spans="17:17" x14ac:dyDescent="0.25">
      <c r="Q879" s="8"/>
    </row>
    <row r="880" spans="17:17" x14ac:dyDescent="0.25">
      <c r="Q880" s="8"/>
    </row>
    <row r="881" spans="17:17" x14ac:dyDescent="0.25">
      <c r="Q881" s="8"/>
    </row>
    <row r="882" spans="17:17" x14ac:dyDescent="0.25">
      <c r="Q882" s="8"/>
    </row>
    <row r="883" spans="17:17" x14ac:dyDescent="0.25">
      <c r="Q883" s="8"/>
    </row>
    <row r="884" spans="17:17" x14ac:dyDescent="0.25">
      <c r="Q884" s="8"/>
    </row>
    <row r="885" spans="17:17" x14ac:dyDescent="0.25">
      <c r="Q885" s="8"/>
    </row>
    <row r="886" spans="17:17" x14ac:dyDescent="0.25">
      <c r="Q886" s="8"/>
    </row>
    <row r="887" spans="17:17" x14ac:dyDescent="0.25">
      <c r="Q887" s="8"/>
    </row>
    <row r="888" spans="17:17" x14ac:dyDescent="0.25">
      <c r="Q888" s="8"/>
    </row>
    <row r="889" spans="17:17" x14ac:dyDescent="0.25">
      <c r="Q889" s="8"/>
    </row>
    <row r="890" spans="17:17" x14ac:dyDescent="0.25">
      <c r="Q890" s="8"/>
    </row>
    <row r="891" spans="17:17" x14ac:dyDescent="0.25">
      <c r="Q891" s="8"/>
    </row>
    <row r="892" spans="17:17" x14ac:dyDescent="0.25">
      <c r="Q892" s="8"/>
    </row>
    <row r="893" spans="17:17" x14ac:dyDescent="0.25">
      <c r="Q893" s="8"/>
    </row>
    <row r="894" spans="17:17" x14ac:dyDescent="0.25">
      <c r="Q894" s="8"/>
    </row>
    <row r="895" spans="17:17" x14ac:dyDescent="0.25">
      <c r="Q895" s="8"/>
    </row>
    <row r="896" spans="17:17" x14ac:dyDescent="0.25">
      <c r="Q896" s="8"/>
    </row>
    <row r="897" spans="17:17" x14ac:dyDescent="0.25">
      <c r="Q897" s="8"/>
    </row>
    <row r="898" spans="17:17" x14ac:dyDescent="0.25">
      <c r="Q898" s="8"/>
    </row>
    <row r="899" spans="17:17" x14ac:dyDescent="0.25">
      <c r="Q899" s="8"/>
    </row>
    <row r="900" spans="17:17" x14ac:dyDescent="0.25">
      <c r="Q900" s="8"/>
    </row>
    <row r="901" spans="17:17" x14ac:dyDescent="0.25">
      <c r="Q901" s="8"/>
    </row>
    <row r="902" spans="17:17" x14ac:dyDescent="0.25">
      <c r="Q902" s="8"/>
    </row>
    <row r="903" spans="17:17" x14ac:dyDescent="0.25">
      <c r="Q903" s="8"/>
    </row>
    <row r="904" spans="17:17" x14ac:dyDescent="0.25">
      <c r="Q904" s="8"/>
    </row>
    <row r="905" spans="17:17" x14ac:dyDescent="0.25">
      <c r="Q905" s="8"/>
    </row>
    <row r="906" spans="17:17" x14ac:dyDescent="0.25">
      <c r="Q906" s="8"/>
    </row>
    <row r="907" spans="17:17" x14ac:dyDescent="0.25">
      <c r="Q907" s="8"/>
    </row>
    <row r="908" spans="17:17" x14ac:dyDescent="0.25">
      <c r="Q908" s="8"/>
    </row>
    <row r="909" spans="17:17" x14ac:dyDescent="0.25">
      <c r="Q909" s="8"/>
    </row>
    <row r="910" spans="17:17" x14ac:dyDescent="0.25">
      <c r="Q910" s="8"/>
    </row>
    <row r="911" spans="17:17" x14ac:dyDescent="0.25">
      <c r="Q911" s="8"/>
    </row>
    <row r="912" spans="17:17" x14ac:dyDescent="0.25">
      <c r="Q912" s="8"/>
    </row>
    <row r="913" spans="17:17" x14ac:dyDescent="0.25">
      <c r="Q913" s="8"/>
    </row>
    <row r="914" spans="17:17" x14ac:dyDescent="0.25">
      <c r="Q914" s="8"/>
    </row>
    <row r="915" spans="17:17" x14ac:dyDescent="0.25">
      <c r="Q915" s="8"/>
    </row>
    <row r="916" spans="17:17" x14ac:dyDescent="0.25">
      <c r="Q916" s="8"/>
    </row>
    <row r="917" spans="17:17" x14ac:dyDescent="0.25">
      <c r="Q917" s="8"/>
    </row>
    <row r="918" spans="17:17" x14ac:dyDescent="0.25">
      <c r="Q918" s="8"/>
    </row>
    <row r="919" spans="17:17" x14ac:dyDescent="0.25">
      <c r="Q919" s="8"/>
    </row>
    <row r="920" spans="17:17" x14ac:dyDescent="0.25">
      <c r="Q920" s="8"/>
    </row>
    <row r="921" spans="17:17" x14ac:dyDescent="0.25">
      <c r="Q921" s="8"/>
    </row>
    <row r="922" spans="17:17" x14ac:dyDescent="0.25">
      <c r="Q922" s="8"/>
    </row>
    <row r="923" spans="17:17" x14ac:dyDescent="0.25">
      <c r="Q923" s="8"/>
    </row>
    <row r="924" spans="17:17" x14ac:dyDescent="0.25">
      <c r="Q924" s="8"/>
    </row>
    <row r="925" spans="17:17" x14ac:dyDescent="0.25">
      <c r="Q925" s="8"/>
    </row>
    <row r="926" spans="17:17" x14ac:dyDescent="0.25">
      <c r="Q926" s="8"/>
    </row>
    <row r="927" spans="17:17" x14ac:dyDescent="0.25">
      <c r="Q927" s="8"/>
    </row>
    <row r="928" spans="17:17" x14ac:dyDescent="0.25">
      <c r="Q928" s="8"/>
    </row>
    <row r="929" spans="17:17" x14ac:dyDescent="0.25">
      <c r="Q929" s="8"/>
    </row>
    <row r="930" spans="17:17" x14ac:dyDescent="0.25">
      <c r="Q930" s="8"/>
    </row>
    <row r="931" spans="17:17" x14ac:dyDescent="0.25">
      <c r="Q931" s="8"/>
    </row>
    <row r="932" spans="17:17" x14ac:dyDescent="0.25">
      <c r="Q932" s="8"/>
    </row>
    <row r="933" spans="17:17" x14ac:dyDescent="0.25">
      <c r="Q933" s="8"/>
    </row>
    <row r="934" spans="17:17" x14ac:dyDescent="0.25">
      <c r="Q934" s="8"/>
    </row>
    <row r="935" spans="17:17" x14ac:dyDescent="0.25">
      <c r="Q935" s="8"/>
    </row>
    <row r="936" spans="17:17" x14ac:dyDescent="0.25">
      <c r="Q936" s="8"/>
    </row>
    <row r="937" spans="17:17" x14ac:dyDescent="0.25">
      <c r="Q937" s="8"/>
    </row>
    <row r="938" spans="17:17" x14ac:dyDescent="0.25">
      <c r="Q938" s="8"/>
    </row>
    <row r="939" spans="17:17" x14ac:dyDescent="0.25">
      <c r="Q939" s="8"/>
    </row>
    <row r="940" spans="17:17" x14ac:dyDescent="0.25">
      <c r="Q940" s="8"/>
    </row>
    <row r="941" spans="17:17" x14ac:dyDescent="0.25">
      <c r="Q941" s="8"/>
    </row>
    <row r="942" spans="17:17" x14ac:dyDescent="0.25">
      <c r="Q942" s="8"/>
    </row>
    <row r="943" spans="17:17" x14ac:dyDescent="0.25">
      <c r="Q943" s="8"/>
    </row>
    <row r="944" spans="17:17" x14ac:dyDescent="0.25">
      <c r="Q944" s="8"/>
    </row>
    <row r="945" spans="17:17" x14ac:dyDescent="0.25">
      <c r="Q945" s="8"/>
    </row>
    <row r="946" spans="17:17" x14ac:dyDescent="0.25">
      <c r="Q946" s="8"/>
    </row>
    <row r="947" spans="17:17" x14ac:dyDescent="0.25">
      <c r="Q947" s="8"/>
    </row>
    <row r="948" spans="17:17" x14ac:dyDescent="0.25">
      <c r="Q948" s="8"/>
    </row>
    <row r="949" spans="17:17" x14ac:dyDescent="0.25">
      <c r="Q949" s="8"/>
    </row>
    <row r="950" spans="17:17" x14ac:dyDescent="0.25">
      <c r="Q950" s="8"/>
    </row>
    <row r="951" spans="17:17" x14ac:dyDescent="0.25">
      <c r="Q951" s="8"/>
    </row>
    <row r="952" spans="17:17" x14ac:dyDescent="0.25">
      <c r="Q952" s="8"/>
    </row>
    <row r="953" spans="17:17" x14ac:dyDescent="0.25">
      <c r="Q953" s="8"/>
    </row>
    <row r="954" spans="17:17" x14ac:dyDescent="0.25">
      <c r="Q954" s="8"/>
    </row>
    <row r="955" spans="17:17" x14ac:dyDescent="0.25">
      <c r="Q955" s="8"/>
    </row>
    <row r="956" spans="17:17" x14ac:dyDescent="0.25">
      <c r="Q956" s="8"/>
    </row>
    <row r="957" spans="17:17" x14ac:dyDescent="0.25">
      <c r="Q957" s="8"/>
    </row>
    <row r="958" spans="17:17" x14ac:dyDescent="0.25">
      <c r="Q958" s="8"/>
    </row>
    <row r="959" spans="17:17" x14ac:dyDescent="0.25">
      <c r="Q959" s="8"/>
    </row>
    <row r="960" spans="17:17" x14ac:dyDescent="0.25">
      <c r="Q960" s="8"/>
    </row>
    <row r="961" spans="17:17" x14ac:dyDescent="0.25">
      <c r="Q961" s="8"/>
    </row>
    <row r="962" spans="17:17" x14ac:dyDescent="0.25">
      <c r="Q962" s="8"/>
    </row>
    <row r="963" spans="17:17" x14ac:dyDescent="0.25">
      <c r="Q963" s="8"/>
    </row>
    <row r="964" spans="17:17" x14ac:dyDescent="0.25">
      <c r="Q964" s="8"/>
    </row>
    <row r="965" spans="17:17" x14ac:dyDescent="0.25">
      <c r="Q965" s="8"/>
    </row>
    <row r="966" spans="17:17" x14ac:dyDescent="0.25">
      <c r="Q966" s="8"/>
    </row>
    <row r="967" spans="17:17" x14ac:dyDescent="0.25">
      <c r="Q967" s="8"/>
    </row>
    <row r="968" spans="17:17" x14ac:dyDescent="0.25">
      <c r="Q968" s="8"/>
    </row>
    <row r="969" spans="17:17" x14ac:dyDescent="0.25">
      <c r="Q969" s="8"/>
    </row>
    <row r="970" spans="17:17" x14ac:dyDescent="0.25">
      <c r="Q970" s="8"/>
    </row>
    <row r="971" spans="17:17" x14ac:dyDescent="0.25">
      <c r="Q971" s="8"/>
    </row>
    <row r="972" spans="17:17" x14ac:dyDescent="0.25">
      <c r="Q972" s="8"/>
    </row>
    <row r="973" spans="17:17" x14ac:dyDescent="0.25">
      <c r="Q973" s="8"/>
    </row>
    <row r="974" spans="17:17" x14ac:dyDescent="0.25">
      <c r="Q974" s="8"/>
    </row>
    <row r="975" spans="17:17" x14ac:dyDescent="0.25">
      <c r="Q975" s="8"/>
    </row>
    <row r="976" spans="17:17" x14ac:dyDescent="0.25">
      <c r="Q976" s="8"/>
    </row>
    <row r="977" spans="17:17" x14ac:dyDescent="0.25">
      <c r="Q977" s="8"/>
    </row>
    <row r="978" spans="17:17" x14ac:dyDescent="0.25">
      <c r="Q978" s="8"/>
    </row>
    <row r="979" spans="17:17" x14ac:dyDescent="0.25">
      <c r="Q979" s="8"/>
    </row>
    <row r="980" spans="17:17" x14ac:dyDescent="0.25">
      <c r="Q980" s="8"/>
    </row>
    <row r="981" spans="17:17" x14ac:dyDescent="0.25">
      <c r="Q981" s="8"/>
    </row>
    <row r="982" spans="17:17" x14ac:dyDescent="0.25">
      <c r="Q982" s="8"/>
    </row>
    <row r="983" spans="17:17" x14ac:dyDescent="0.25">
      <c r="Q983" s="8"/>
    </row>
    <row r="984" spans="17:17" x14ac:dyDescent="0.25">
      <c r="Q984" s="8"/>
    </row>
    <row r="985" spans="17:17" x14ac:dyDescent="0.25">
      <c r="Q985" s="8"/>
    </row>
    <row r="986" spans="17:17" x14ac:dyDescent="0.25">
      <c r="Q986" s="8"/>
    </row>
    <row r="987" spans="17:17" x14ac:dyDescent="0.25">
      <c r="Q987" s="8"/>
    </row>
    <row r="988" spans="17:17" x14ac:dyDescent="0.25">
      <c r="Q988" s="8"/>
    </row>
    <row r="989" spans="17:17" x14ac:dyDescent="0.25">
      <c r="Q989" s="8"/>
    </row>
    <row r="990" spans="17:17" x14ac:dyDescent="0.25">
      <c r="Q990" s="8"/>
    </row>
    <row r="991" spans="17:17" x14ac:dyDescent="0.25">
      <c r="Q991" s="8"/>
    </row>
    <row r="992" spans="17:17" x14ac:dyDescent="0.25">
      <c r="Q992" s="8"/>
    </row>
    <row r="993" spans="17:17" x14ac:dyDescent="0.25">
      <c r="Q993" s="8"/>
    </row>
    <row r="994" spans="17:17" x14ac:dyDescent="0.25">
      <c r="Q994" s="8"/>
    </row>
    <row r="995" spans="17:17" x14ac:dyDescent="0.25">
      <c r="Q995" s="8"/>
    </row>
    <row r="996" spans="17:17" x14ac:dyDescent="0.25">
      <c r="Q996" s="8"/>
    </row>
    <row r="997" spans="17:17" x14ac:dyDescent="0.25">
      <c r="Q997" s="8"/>
    </row>
    <row r="998" spans="17:17" x14ac:dyDescent="0.25">
      <c r="Q998" s="8"/>
    </row>
    <row r="999" spans="17:17" x14ac:dyDescent="0.25">
      <c r="Q999" s="8"/>
    </row>
    <row r="1000" spans="17:17" x14ac:dyDescent="0.25">
      <c r="Q1000" s="8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4" width="8.7109375" customWidth="1"/>
    <col min="5" max="5" width="10.28515625" customWidth="1"/>
    <col min="6" max="29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466</v>
      </c>
      <c r="G1" s="1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6</v>
      </c>
      <c r="M1" s="2" t="s">
        <v>8</v>
      </c>
      <c r="N1" s="2" t="s">
        <v>7</v>
      </c>
      <c r="O1" s="2" t="s">
        <v>9</v>
      </c>
      <c r="P1" s="2" t="s">
        <v>472</v>
      </c>
      <c r="Q1" s="2" t="s">
        <v>473</v>
      </c>
      <c r="R1" s="14"/>
      <c r="S1" s="14" t="s">
        <v>474</v>
      </c>
      <c r="W1" s="3"/>
    </row>
    <row r="2" spans="1:26" ht="15.75" customHeight="1" x14ac:dyDescent="0.25">
      <c r="A2" s="4" t="s">
        <v>12</v>
      </c>
      <c r="B2" s="5" t="s">
        <v>13</v>
      </c>
      <c r="C2" s="6" t="s">
        <v>14</v>
      </c>
      <c r="D2" s="6" t="s">
        <v>15</v>
      </c>
      <c r="E2" s="6" t="s">
        <v>16</v>
      </c>
      <c r="F2" s="6">
        <v>6</v>
      </c>
      <c r="G2" s="15">
        <v>4570</v>
      </c>
      <c r="H2" s="15">
        <v>943</v>
      </c>
      <c r="I2" s="15">
        <v>487</v>
      </c>
      <c r="J2" s="15">
        <v>689</v>
      </c>
      <c r="K2" s="6">
        <v>1</v>
      </c>
      <c r="L2" s="6"/>
      <c r="M2" s="6" t="s">
        <v>17</v>
      </c>
      <c r="N2" s="6">
        <v>124</v>
      </c>
      <c r="O2" s="6" t="s">
        <v>475</v>
      </c>
      <c r="P2" s="7">
        <v>44937</v>
      </c>
      <c r="Q2" s="6" t="s">
        <v>476</v>
      </c>
      <c r="S2" s="14" t="str">
        <f ca="1">IFERROR(__xludf.DUMMYFUNCTION("ArrayFormula(REGEXREPLACE(B2:B1000,""[A-Za-z]$"",""""))"),"バエル")</f>
        <v>バエル</v>
      </c>
      <c r="T2" s="14" t="str">
        <f t="array" aca="1" ref="T2:T1000" ca="1">VLOOKUP($S$2:$S1000,シート1!D1:K165,3,FALSE)</f>
        <v>男性</v>
      </c>
      <c r="U2" s="14">
        <f t="array" aca="1" ref="U2:U1000" ca="1">VLOOKUP($S$2:$S1000,シート1!$D$1:$K$165,4,FALSE)</f>
        <v>124</v>
      </c>
      <c r="V2" s="14" t="str">
        <f t="array" aca="1" ref="V2:V1000" ca="1">VLOOKUP($S$2:$S1000,シート1!$D$1:$K$165,5,FALSE)</f>
        <v>不明</v>
      </c>
      <c r="W2" s="8">
        <f t="array" aca="1" ref="W2:W1000" ca="1">VLOOKUP($S$2:$S1000,シート1!$D$1:$K$165,6,FALSE)</f>
        <v>44937</v>
      </c>
      <c r="X2" s="14" t="str">
        <f t="array" aca="1" ref="X2:X1000" ca="1">VLOOKUP($S$2:$S1000,シート1!$D$2:$K$165,8,FALSE)</f>
        <v>コラン</v>
      </c>
      <c r="Z2" s="14" t="str">
        <f t="array" ref="Z2:Z273">VLOOKUP(B2:B273,シート3!A1:E1000,5,FALSE)</f>
        <v>雷</v>
      </c>
    </row>
    <row r="3" spans="1:26" ht="15.75" customHeight="1" x14ac:dyDescent="0.25">
      <c r="A3" s="4" t="s">
        <v>12</v>
      </c>
      <c r="B3" s="9" t="s">
        <v>19</v>
      </c>
      <c r="C3" s="6" t="s">
        <v>20</v>
      </c>
      <c r="D3" s="6" t="s">
        <v>21</v>
      </c>
      <c r="E3" s="6" t="s">
        <v>16</v>
      </c>
      <c r="F3" s="6">
        <v>4</v>
      </c>
      <c r="G3" s="15">
        <v>7000</v>
      </c>
      <c r="H3" s="15">
        <v>1103</v>
      </c>
      <c r="I3" s="15">
        <v>417</v>
      </c>
      <c r="J3" s="15">
        <v>620</v>
      </c>
      <c r="K3" s="6">
        <v>1</v>
      </c>
      <c r="L3" s="6"/>
      <c r="M3" s="6" t="s">
        <v>17</v>
      </c>
      <c r="N3" s="6">
        <v>124</v>
      </c>
      <c r="O3" s="6" t="s">
        <v>475</v>
      </c>
      <c r="P3" s="7">
        <v>44937</v>
      </c>
      <c r="Q3" s="6" t="s">
        <v>476</v>
      </c>
      <c r="S3" s="14" t="str">
        <f ca="1">IFERROR(__xludf.DUMMYFUNCTION("""COMPUTED_VALUE"""),"バエル")</f>
        <v>バエル</v>
      </c>
      <c r="T3" s="14" t="str">
        <f ca="1"/>
        <v>男性</v>
      </c>
      <c r="U3" s="14">
        <f ca="1"/>
        <v>124</v>
      </c>
      <c r="V3" s="14" t="str">
        <f ca="1"/>
        <v>不明</v>
      </c>
      <c r="W3" s="8">
        <f ca="1"/>
        <v>44937</v>
      </c>
      <c r="X3" s="14" t="str">
        <f ca="1"/>
        <v>コラン</v>
      </c>
      <c r="Z3" s="14" t="str">
        <v>雷</v>
      </c>
    </row>
    <row r="4" spans="1:26" ht="15.75" customHeight="1" x14ac:dyDescent="0.25">
      <c r="A4" s="4" t="s">
        <v>22</v>
      </c>
      <c r="B4" s="9" t="s">
        <v>23</v>
      </c>
      <c r="C4" s="6" t="s">
        <v>24</v>
      </c>
      <c r="D4" s="6" t="s">
        <v>21</v>
      </c>
      <c r="E4" s="6" t="s">
        <v>16</v>
      </c>
      <c r="F4" s="6">
        <v>4</v>
      </c>
      <c r="G4" s="15">
        <v>6106</v>
      </c>
      <c r="H4" s="15">
        <v>1218</v>
      </c>
      <c r="I4" s="15">
        <v>394</v>
      </c>
      <c r="J4" s="15">
        <v>616</v>
      </c>
      <c r="K4" s="6">
        <v>1</v>
      </c>
      <c r="L4" s="6"/>
      <c r="M4" s="6" t="s">
        <v>17</v>
      </c>
      <c r="N4" s="6">
        <v>186</v>
      </c>
      <c r="O4" s="6">
        <v>26</v>
      </c>
      <c r="P4" s="7">
        <v>45106</v>
      </c>
      <c r="Q4" s="6" t="s">
        <v>477</v>
      </c>
      <c r="S4" s="14" t="str">
        <f ca="1">IFERROR(__xludf.DUMMYFUNCTION("""COMPUTED_VALUE"""),"アガレス")</f>
        <v>アガレス</v>
      </c>
      <c r="T4" s="14" t="str">
        <f ca="1"/>
        <v>男性</v>
      </c>
      <c r="U4" s="14">
        <f ca="1"/>
        <v>186</v>
      </c>
      <c r="V4" s="14">
        <f ca="1"/>
        <v>26</v>
      </c>
      <c r="W4" s="8">
        <f ca="1"/>
        <v>45106</v>
      </c>
      <c r="X4" s="14" t="str">
        <f ca="1"/>
        <v>羽ばたく鰐</v>
      </c>
      <c r="Z4" s="14" t="str">
        <v>地</v>
      </c>
    </row>
    <row r="5" spans="1:26" ht="15.75" customHeight="1" x14ac:dyDescent="0.25">
      <c r="A5" s="4" t="s">
        <v>22</v>
      </c>
      <c r="B5" s="5" t="s">
        <v>26</v>
      </c>
      <c r="C5" s="6" t="s">
        <v>20</v>
      </c>
      <c r="D5" s="6" t="s">
        <v>15</v>
      </c>
      <c r="E5" s="6" t="s">
        <v>16</v>
      </c>
      <c r="F5" s="6">
        <v>5</v>
      </c>
      <c r="G5" s="15">
        <v>10712</v>
      </c>
      <c r="H5" s="15">
        <v>971</v>
      </c>
      <c r="I5" s="15">
        <v>418</v>
      </c>
      <c r="J5" s="15">
        <v>427</v>
      </c>
      <c r="K5" s="6">
        <v>1</v>
      </c>
      <c r="L5" s="6"/>
      <c r="M5" s="6" t="s">
        <v>17</v>
      </c>
      <c r="N5" s="6">
        <v>186</v>
      </c>
      <c r="O5" s="6">
        <v>26</v>
      </c>
      <c r="P5" s="7">
        <v>45106</v>
      </c>
      <c r="Q5" s="6" t="s">
        <v>477</v>
      </c>
      <c r="S5" s="14" t="str">
        <f ca="1">IFERROR(__xludf.DUMMYFUNCTION("""COMPUTED_VALUE"""),"アガレス")</f>
        <v>アガレス</v>
      </c>
      <c r="T5" s="14" t="str">
        <f ca="1"/>
        <v>男性</v>
      </c>
      <c r="U5" s="14">
        <f ca="1"/>
        <v>186</v>
      </c>
      <c r="V5" s="14">
        <f ca="1"/>
        <v>26</v>
      </c>
      <c r="W5" s="8">
        <f ca="1"/>
        <v>45106</v>
      </c>
      <c r="X5" s="14" t="str">
        <f ca="1"/>
        <v>羽ばたく鰐</v>
      </c>
      <c r="Z5" s="14" t="str">
        <v>地</v>
      </c>
    </row>
    <row r="6" spans="1:26" ht="15.75" customHeight="1" x14ac:dyDescent="0.25">
      <c r="A6" s="4" t="s">
        <v>27</v>
      </c>
      <c r="B6" s="5" t="s">
        <v>28</v>
      </c>
      <c r="C6" s="6" t="s">
        <v>20</v>
      </c>
      <c r="D6" s="6" t="s">
        <v>15</v>
      </c>
      <c r="E6" s="6" t="s">
        <v>29</v>
      </c>
      <c r="F6" s="6">
        <v>4</v>
      </c>
      <c r="G6" s="15">
        <v>7736</v>
      </c>
      <c r="H6" s="15">
        <v>935</v>
      </c>
      <c r="I6" s="15">
        <v>538</v>
      </c>
      <c r="J6" s="15">
        <v>460</v>
      </c>
      <c r="K6" s="6">
        <v>1</v>
      </c>
      <c r="L6" s="6"/>
      <c r="M6" s="6" t="s">
        <v>30</v>
      </c>
      <c r="N6" s="6">
        <v>164</v>
      </c>
      <c r="O6" s="6">
        <v>19</v>
      </c>
      <c r="P6" s="7">
        <v>45021</v>
      </c>
      <c r="Q6" s="6" t="s">
        <v>478</v>
      </c>
      <c r="S6" s="14" t="str">
        <f ca="1">IFERROR(__xludf.DUMMYFUNCTION("""COMPUTED_VALUE"""),"ウァサゴ")</f>
        <v>ウァサゴ</v>
      </c>
      <c r="T6" s="14" t="str">
        <f ca="1"/>
        <v>女性</v>
      </c>
      <c r="U6" s="14">
        <f ca="1"/>
        <v>164</v>
      </c>
      <c r="V6" s="14">
        <f ca="1"/>
        <v>19</v>
      </c>
      <c r="W6" s="8">
        <f ca="1"/>
        <v>45021</v>
      </c>
      <c r="X6" s="14" t="str">
        <f ca="1"/>
        <v>エリザ</v>
      </c>
      <c r="Z6" s="14" t="str">
        <v>地</v>
      </c>
    </row>
    <row r="7" spans="1:26" ht="15.75" customHeight="1" x14ac:dyDescent="0.25">
      <c r="A7" s="4" t="s">
        <v>27</v>
      </c>
      <c r="B7" s="10" t="s">
        <v>31</v>
      </c>
      <c r="C7" s="6" t="s">
        <v>20</v>
      </c>
      <c r="D7" s="6" t="s">
        <v>32</v>
      </c>
      <c r="E7" s="6" t="s">
        <v>29</v>
      </c>
      <c r="F7" s="6">
        <v>3</v>
      </c>
      <c r="G7" s="15">
        <v>5743</v>
      </c>
      <c r="H7" s="15">
        <v>980</v>
      </c>
      <c r="I7" s="15">
        <v>500</v>
      </c>
      <c r="J7" s="15">
        <v>614</v>
      </c>
      <c r="K7" s="6">
        <v>1</v>
      </c>
      <c r="L7" s="6"/>
      <c r="M7" s="6" t="s">
        <v>30</v>
      </c>
      <c r="N7" s="6">
        <v>164</v>
      </c>
      <c r="O7" s="6">
        <v>19</v>
      </c>
      <c r="P7" s="7">
        <v>45021</v>
      </c>
      <c r="Q7" s="6" t="s">
        <v>478</v>
      </c>
      <c r="S7" s="14" t="str">
        <f ca="1">IFERROR(__xludf.DUMMYFUNCTION("""COMPUTED_VALUE"""),"ウァサゴ")</f>
        <v>ウァサゴ</v>
      </c>
      <c r="T7" s="14" t="str">
        <f ca="1"/>
        <v>女性</v>
      </c>
      <c r="U7" s="14">
        <f ca="1"/>
        <v>164</v>
      </c>
      <c r="V7" s="14">
        <f ca="1"/>
        <v>19</v>
      </c>
      <c r="W7" s="8">
        <f ca="1"/>
        <v>45021</v>
      </c>
      <c r="X7" s="14" t="str">
        <f ca="1"/>
        <v>エリザ</v>
      </c>
      <c r="Z7" s="14" t="str">
        <v>地</v>
      </c>
    </row>
    <row r="8" spans="1:26" ht="15.75" customHeight="1" x14ac:dyDescent="0.25">
      <c r="A8" s="4" t="s">
        <v>33</v>
      </c>
      <c r="B8" s="5" t="s">
        <v>34</v>
      </c>
      <c r="C8" s="6" t="s">
        <v>24</v>
      </c>
      <c r="D8" s="6" t="s">
        <v>15</v>
      </c>
      <c r="E8" s="6" t="s">
        <v>29</v>
      </c>
      <c r="F8" s="6">
        <v>4</v>
      </c>
      <c r="G8" s="15">
        <v>8467</v>
      </c>
      <c r="H8" s="15">
        <v>1070</v>
      </c>
      <c r="I8" s="15">
        <v>423</v>
      </c>
      <c r="J8" s="15">
        <v>492</v>
      </c>
      <c r="K8" s="6">
        <v>1</v>
      </c>
      <c r="L8" s="6"/>
      <c r="M8" s="6" t="s">
        <v>17</v>
      </c>
      <c r="N8" s="6">
        <v>185</v>
      </c>
      <c r="O8" s="6">
        <v>28</v>
      </c>
      <c r="P8" s="7">
        <v>45002</v>
      </c>
      <c r="Q8" s="6" t="s">
        <v>297</v>
      </c>
      <c r="S8" s="14" t="str">
        <f ca="1">IFERROR(__xludf.DUMMYFUNCTION("""COMPUTED_VALUE"""),"ガミジン")</f>
        <v>ガミジン</v>
      </c>
      <c r="T8" s="14" t="str">
        <f ca="1"/>
        <v>男性</v>
      </c>
      <c r="U8" s="14">
        <f ca="1"/>
        <v>185</v>
      </c>
      <c r="V8" s="14">
        <f ca="1"/>
        <v>28</v>
      </c>
      <c r="W8" s="8">
        <f ca="1"/>
        <v>45002</v>
      </c>
      <c r="X8" s="14" t="str">
        <f ca="1"/>
        <v>？</v>
      </c>
      <c r="Z8" s="14" t="str">
        <v>地</v>
      </c>
    </row>
    <row r="9" spans="1:26" ht="15.75" customHeight="1" x14ac:dyDescent="0.25">
      <c r="A9" s="4" t="s">
        <v>33</v>
      </c>
      <c r="B9" s="9" t="s">
        <v>35</v>
      </c>
      <c r="C9" s="6" t="s">
        <v>20</v>
      </c>
      <c r="D9" s="6" t="s">
        <v>21</v>
      </c>
      <c r="E9" s="6" t="s">
        <v>29</v>
      </c>
      <c r="F9" s="6">
        <v>5</v>
      </c>
      <c r="G9" s="15">
        <v>8729</v>
      </c>
      <c r="H9" s="15">
        <v>1193</v>
      </c>
      <c r="I9" s="15">
        <v>418</v>
      </c>
      <c r="J9" s="15">
        <v>417</v>
      </c>
      <c r="K9" s="6">
        <v>1</v>
      </c>
      <c r="L9" s="6"/>
      <c r="M9" s="6" t="s">
        <v>17</v>
      </c>
      <c r="N9" s="6">
        <v>185</v>
      </c>
      <c r="O9" s="6">
        <v>28</v>
      </c>
      <c r="P9" s="7">
        <v>45002</v>
      </c>
      <c r="Q9" s="6" t="s">
        <v>297</v>
      </c>
      <c r="S9" s="14" t="str">
        <f ca="1">IFERROR(__xludf.DUMMYFUNCTION("""COMPUTED_VALUE"""),"ガミジン")</f>
        <v>ガミジン</v>
      </c>
      <c r="T9" s="14" t="str">
        <f ca="1"/>
        <v>男性</v>
      </c>
      <c r="U9" s="14">
        <f ca="1"/>
        <v>185</v>
      </c>
      <c r="V9" s="14">
        <f ca="1"/>
        <v>28</v>
      </c>
      <c r="W9" s="8">
        <f ca="1"/>
        <v>45002</v>
      </c>
      <c r="X9" s="14" t="str">
        <f ca="1"/>
        <v>？</v>
      </c>
      <c r="Z9" s="14" t="str">
        <v>地</v>
      </c>
    </row>
    <row r="10" spans="1:26" ht="15.75" customHeight="1" x14ac:dyDescent="0.25">
      <c r="A10" s="4" t="s">
        <v>36</v>
      </c>
      <c r="B10" s="10" t="s">
        <v>37</v>
      </c>
      <c r="C10" s="6" t="s">
        <v>24</v>
      </c>
      <c r="D10" s="6" t="s">
        <v>32</v>
      </c>
      <c r="E10" s="6" t="s">
        <v>16</v>
      </c>
      <c r="F10" s="6">
        <v>4</v>
      </c>
      <c r="G10" s="15">
        <v>7730</v>
      </c>
      <c r="H10" s="15">
        <v>597</v>
      </c>
      <c r="I10" s="15">
        <v>586</v>
      </c>
      <c r="J10" s="15">
        <v>657</v>
      </c>
      <c r="K10" s="6">
        <v>1</v>
      </c>
      <c r="L10" s="6"/>
      <c r="M10" s="6" t="s">
        <v>30</v>
      </c>
      <c r="N10" s="6">
        <v>145</v>
      </c>
      <c r="O10" s="6">
        <v>14</v>
      </c>
      <c r="P10" s="7">
        <v>45031</v>
      </c>
      <c r="Q10" s="6" t="s">
        <v>297</v>
      </c>
      <c r="S10" s="14" t="str">
        <f ca="1">IFERROR(__xludf.DUMMYFUNCTION("""COMPUTED_VALUE"""),"マルバス")</f>
        <v>マルバス</v>
      </c>
      <c r="T10" s="14" t="str">
        <f ca="1"/>
        <v>女性</v>
      </c>
      <c r="U10" s="14">
        <f ca="1"/>
        <v>145</v>
      </c>
      <c r="V10" s="14">
        <f ca="1"/>
        <v>14</v>
      </c>
      <c r="W10" s="8">
        <f ca="1"/>
        <v>45031</v>
      </c>
      <c r="X10" s="14" t="str">
        <f ca="1"/>
        <v>？</v>
      </c>
      <c r="Z10" s="14" t="str">
        <v>地</v>
      </c>
    </row>
    <row r="11" spans="1:26" ht="15.75" customHeight="1" x14ac:dyDescent="0.25">
      <c r="A11" s="4" t="s">
        <v>36</v>
      </c>
      <c r="B11" s="9" t="s">
        <v>38</v>
      </c>
      <c r="C11" s="6" t="s">
        <v>20</v>
      </c>
      <c r="D11" s="6" t="s">
        <v>21</v>
      </c>
      <c r="E11" s="6" t="s">
        <v>16</v>
      </c>
      <c r="F11" s="6">
        <v>4</v>
      </c>
      <c r="G11" s="15">
        <v>7262</v>
      </c>
      <c r="H11" s="15">
        <v>628</v>
      </c>
      <c r="I11" s="15">
        <v>489</v>
      </c>
      <c r="J11" s="15">
        <v>719</v>
      </c>
      <c r="K11" s="6">
        <v>1</v>
      </c>
      <c r="L11" s="6"/>
      <c r="M11" s="6" t="s">
        <v>30</v>
      </c>
      <c r="N11" s="6">
        <v>145</v>
      </c>
      <c r="O11" s="6">
        <v>14</v>
      </c>
      <c r="P11" s="7">
        <v>45031</v>
      </c>
      <c r="Q11" s="6" t="s">
        <v>297</v>
      </c>
      <c r="S11" s="14" t="str">
        <f ca="1">IFERROR(__xludf.DUMMYFUNCTION("""COMPUTED_VALUE"""),"マルバス")</f>
        <v>マルバス</v>
      </c>
      <c r="T11" s="14" t="str">
        <f ca="1"/>
        <v>女性</v>
      </c>
      <c r="U11" s="14">
        <f ca="1"/>
        <v>145</v>
      </c>
      <c r="V11" s="14">
        <f ca="1"/>
        <v>14</v>
      </c>
      <c r="W11" s="8">
        <f ca="1"/>
        <v>45031</v>
      </c>
      <c r="X11" s="14" t="str">
        <f ca="1"/>
        <v>？</v>
      </c>
      <c r="Z11" s="14" t="str">
        <v>地</v>
      </c>
    </row>
    <row r="12" spans="1:26" ht="15.75" customHeight="1" x14ac:dyDescent="0.25">
      <c r="A12" s="4" t="s">
        <v>39</v>
      </c>
      <c r="B12" s="9" t="s">
        <v>40</v>
      </c>
      <c r="C12" s="6" t="s">
        <v>20</v>
      </c>
      <c r="D12" s="6" t="s">
        <v>21</v>
      </c>
      <c r="E12" s="6" t="s">
        <v>29</v>
      </c>
      <c r="F12" s="6">
        <v>4</v>
      </c>
      <c r="G12" s="15">
        <v>6806</v>
      </c>
      <c r="H12" s="15">
        <v>1340</v>
      </c>
      <c r="I12" s="15">
        <v>390</v>
      </c>
      <c r="J12" s="15">
        <v>509</v>
      </c>
      <c r="K12" s="6">
        <v>1</v>
      </c>
      <c r="L12" s="6"/>
      <c r="M12" s="6" t="s">
        <v>30</v>
      </c>
      <c r="N12" s="6">
        <v>181</v>
      </c>
      <c r="O12" s="6">
        <v>25</v>
      </c>
      <c r="P12" s="7">
        <v>45005</v>
      </c>
      <c r="Q12" s="6" t="s">
        <v>297</v>
      </c>
      <c r="S12" s="14" t="str">
        <f ca="1">IFERROR(__xludf.DUMMYFUNCTION("""COMPUTED_VALUE"""),"ウァレフォル")</f>
        <v>ウァレフォル</v>
      </c>
      <c r="T12" s="14" t="str">
        <f ca="1"/>
        <v>女性</v>
      </c>
      <c r="U12" s="14">
        <f ca="1"/>
        <v>181</v>
      </c>
      <c r="V12" s="14">
        <f ca="1"/>
        <v>25</v>
      </c>
      <c r="W12" s="8">
        <f ca="1"/>
        <v>45005</v>
      </c>
      <c r="X12" s="14" t="str">
        <f ca="1"/>
        <v>？</v>
      </c>
      <c r="Z12" s="14" t="str">
        <v>雷</v>
      </c>
    </row>
    <row r="13" spans="1:26" ht="15.75" customHeight="1" x14ac:dyDescent="0.25">
      <c r="A13" s="4" t="s">
        <v>39</v>
      </c>
      <c r="B13" s="10" t="s">
        <v>41</v>
      </c>
      <c r="C13" s="6" t="s">
        <v>20</v>
      </c>
      <c r="D13" s="6" t="s">
        <v>32</v>
      </c>
      <c r="E13" s="6" t="s">
        <v>29</v>
      </c>
      <c r="F13" s="6">
        <v>3</v>
      </c>
      <c r="G13" s="15">
        <v>5855</v>
      </c>
      <c r="H13" s="15">
        <v>1150</v>
      </c>
      <c r="I13" s="15">
        <v>287</v>
      </c>
      <c r="J13" s="15">
        <v>678</v>
      </c>
      <c r="K13" s="6">
        <v>2</v>
      </c>
      <c r="L13" s="6"/>
      <c r="M13" s="6" t="s">
        <v>30</v>
      </c>
      <c r="N13" s="6">
        <v>181</v>
      </c>
      <c r="O13" s="6">
        <v>25</v>
      </c>
      <c r="P13" s="7">
        <v>45005</v>
      </c>
      <c r="Q13" s="6" t="s">
        <v>297</v>
      </c>
      <c r="S13" s="14" t="str">
        <f ca="1">IFERROR(__xludf.DUMMYFUNCTION("""COMPUTED_VALUE"""),"ウァレフォル")</f>
        <v>ウァレフォル</v>
      </c>
      <c r="T13" s="14" t="str">
        <f ca="1"/>
        <v>女性</v>
      </c>
      <c r="U13" s="14">
        <f ca="1"/>
        <v>181</v>
      </c>
      <c r="V13" s="14">
        <f ca="1"/>
        <v>25</v>
      </c>
      <c r="W13" s="8">
        <f ca="1"/>
        <v>45005</v>
      </c>
      <c r="X13" s="14" t="str">
        <f ca="1"/>
        <v>？</v>
      </c>
      <c r="Z13" s="14" t="str">
        <v>地</v>
      </c>
    </row>
    <row r="14" spans="1:26" ht="15.75" customHeight="1" x14ac:dyDescent="0.25">
      <c r="A14" s="4" t="s">
        <v>42</v>
      </c>
      <c r="B14" s="10" t="s">
        <v>43</v>
      </c>
      <c r="C14" s="6" t="s">
        <v>20</v>
      </c>
      <c r="D14" s="6" t="s">
        <v>32</v>
      </c>
      <c r="E14" s="6" t="s">
        <v>29</v>
      </c>
      <c r="F14" s="6">
        <v>2</v>
      </c>
      <c r="G14" s="15">
        <v>6039</v>
      </c>
      <c r="H14" s="15">
        <v>1200</v>
      </c>
      <c r="I14" s="15">
        <v>420</v>
      </c>
      <c r="J14" s="15">
        <v>627</v>
      </c>
      <c r="K14" s="6">
        <v>3</v>
      </c>
      <c r="L14" s="6"/>
      <c r="M14" s="6" t="s">
        <v>17</v>
      </c>
      <c r="N14" s="6">
        <v>153</v>
      </c>
      <c r="O14" s="6">
        <v>13</v>
      </c>
      <c r="P14" s="7">
        <v>45157</v>
      </c>
      <c r="Q14" s="6" t="s">
        <v>479</v>
      </c>
      <c r="S14" s="14" t="str">
        <f ca="1">IFERROR(__xludf.DUMMYFUNCTION("""COMPUTED_VALUE"""),"アモン")</f>
        <v>アモン</v>
      </c>
      <c r="T14" s="14" t="str">
        <f ca="1"/>
        <v>男性</v>
      </c>
      <c r="U14" s="14">
        <f ca="1"/>
        <v>153</v>
      </c>
      <c r="V14" s="14">
        <f ca="1"/>
        <v>13</v>
      </c>
      <c r="W14" s="8">
        <f ca="1"/>
        <v>45157</v>
      </c>
      <c r="X14" s="14" t="str">
        <f ca="1"/>
        <v>リュカ</v>
      </c>
      <c r="Z14" s="14" t="str">
        <v>火</v>
      </c>
    </row>
    <row r="15" spans="1:26" ht="15.75" customHeight="1" x14ac:dyDescent="0.25">
      <c r="A15" s="4" t="s">
        <v>42</v>
      </c>
      <c r="B15" s="5" t="s">
        <v>45</v>
      </c>
      <c r="C15" s="6" t="s">
        <v>20</v>
      </c>
      <c r="D15" s="6" t="s">
        <v>15</v>
      </c>
      <c r="E15" s="6" t="s">
        <v>29</v>
      </c>
      <c r="F15" s="6">
        <v>4</v>
      </c>
      <c r="G15" s="15">
        <v>4598</v>
      </c>
      <c r="H15" s="15">
        <v>1194</v>
      </c>
      <c r="I15" s="15">
        <v>417</v>
      </c>
      <c r="J15" s="15">
        <v>685</v>
      </c>
      <c r="K15" s="6">
        <v>1</v>
      </c>
      <c r="L15" s="6"/>
      <c r="M15" s="6" t="s">
        <v>17</v>
      </c>
      <c r="N15" s="6">
        <v>153</v>
      </c>
      <c r="O15" s="6">
        <v>13</v>
      </c>
      <c r="P15" s="7">
        <v>45157</v>
      </c>
      <c r="Q15" s="6" t="s">
        <v>479</v>
      </c>
      <c r="S15" s="14" t="str">
        <f ca="1">IFERROR(__xludf.DUMMYFUNCTION("""COMPUTED_VALUE"""),"アモン")</f>
        <v>アモン</v>
      </c>
      <c r="T15" s="14" t="str">
        <f ca="1"/>
        <v>男性</v>
      </c>
      <c r="U15" s="14">
        <f ca="1"/>
        <v>153</v>
      </c>
      <c r="V15" s="14">
        <f ca="1"/>
        <v>13</v>
      </c>
      <c r="W15" s="8">
        <f ca="1"/>
        <v>45157</v>
      </c>
      <c r="X15" s="14" t="str">
        <f ca="1"/>
        <v>リュカ</v>
      </c>
      <c r="Z15" s="14" t="str">
        <v>火</v>
      </c>
    </row>
    <row r="16" spans="1:26" ht="15.75" customHeight="1" x14ac:dyDescent="0.25">
      <c r="A16" s="4" t="s">
        <v>46</v>
      </c>
      <c r="B16" s="10" t="s">
        <v>47</v>
      </c>
      <c r="C16" s="6" t="s">
        <v>20</v>
      </c>
      <c r="D16" s="6" t="s">
        <v>32</v>
      </c>
      <c r="E16" s="6" t="s">
        <v>16</v>
      </c>
      <c r="F16" s="6">
        <v>3</v>
      </c>
      <c r="G16" s="15">
        <v>7713</v>
      </c>
      <c r="H16" s="15">
        <v>1226</v>
      </c>
      <c r="I16" s="15">
        <v>421</v>
      </c>
      <c r="J16" s="15">
        <v>492</v>
      </c>
      <c r="K16" s="6">
        <v>1</v>
      </c>
      <c r="L16" s="6"/>
      <c r="M16" s="6" t="s">
        <v>17</v>
      </c>
      <c r="N16" s="6">
        <v>173</v>
      </c>
      <c r="O16" s="6" t="s">
        <v>475</v>
      </c>
      <c r="P16" s="7">
        <v>45086</v>
      </c>
      <c r="Q16" s="6" t="s">
        <v>297</v>
      </c>
      <c r="S16" s="14" t="str">
        <f ca="1">IFERROR(__xludf.DUMMYFUNCTION("""COMPUTED_VALUE"""),"バルバトス")</f>
        <v>バルバトス</v>
      </c>
      <c r="T16" s="14" t="str">
        <f ca="1"/>
        <v>男性</v>
      </c>
      <c r="U16" s="14">
        <f ca="1"/>
        <v>173</v>
      </c>
      <c r="V16" s="14" t="str">
        <f ca="1"/>
        <v>不明</v>
      </c>
      <c r="W16" s="8">
        <f ca="1"/>
        <v>45086</v>
      </c>
      <c r="X16" s="14" t="str">
        <f ca="1"/>
        <v>？</v>
      </c>
      <c r="Z16" s="14" t="str">
        <v>風</v>
      </c>
    </row>
    <row r="17" spans="1:26" ht="15.75" customHeight="1" x14ac:dyDescent="0.25">
      <c r="A17" s="4" t="s">
        <v>46</v>
      </c>
      <c r="B17" s="9" t="s">
        <v>49</v>
      </c>
      <c r="C17" s="6" t="s">
        <v>14</v>
      </c>
      <c r="D17" s="6" t="s">
        <v>21</v>
      </c>
      <c r="E17" s="6" t="s">
        <v>16</v>
      </c>
      <c r="F17" s="6">
        <v>3</v>
      </c>
      <c r="G17" s="15">
        <v>7659</v>
      </c>
      <c r="H17" s="15">
        <v>960</v>
      </c>
      <c r="I17" s="15">
        <v>476</v>
      </c>
      <c r="J17" s="15">
        <v>474</v>
      </c>
      <c r="K17" s="6">
        <v>1</v>
      </c>
      <c r="L17" s="6"/>
      <c r="M17" s="6" t="s">
        <v>17</v>
      </c>
      <c r="N17" s="6">
        <v>173</v>
      </c>
      <c r="O17" s="6" t="s">
        <v>475</v>
      </c>
      <c r="P17" s="7">
        <v>45086</v>
      </c>
      <c r="Q17" s="6" t="s">
        <v>297</v>
      </c>
      <c r="S17" s="14" t="str">
        <f ca="1">IFERROR(__xludf.DUMMYFUNCTION("""COMPUTED_VALUE"""),"バルバトス")</f>
        <v>バルバトス</v>
      </c>
      <c r="T17" s="14" t="str">
        <f ca="1"/>
        <v>男性</v>
      </c>
      <c r="U17" s="14">
        <f ca="1"/>
        <v>173</v>
      </c>
      <c r="V17" s="14" t="str">
        <f ca="1"/>
        <v>不明</v>
      </c>
      <c r="W17" s="8">
        <f ca="1"/>
        <v>45086</v>
      </c>
      <c r="X17" s="14" t="str">
        <f ca="1"/>
        <v>？</v>
      </c>
      <c r="Z17" s="14" t="str">
        <v>風</v>
      </c>
    </row>
    <row r="18" spans="1:26" ht="15.75" customHeight="1" x14ac:dyDescent="0.25">
      <c r="A18" s="4" t="s">
        <v>50</v>
      </c>
      <c r="B18" s="5" t="s">
        <v>51</v>
      </c>
      <c r="C18" s="6" t="s">
        <v>20</v>
      </c>
      <c r="D18" s="6" t="s">
        <v>15</v>
      </c>
      <c r="E18" s="6" t="s">
        <v>29</v>
      </c>
      <c r="F18" s="6">
        <v>4</v>
      </c>
      <c r="G18" s="15">
        <v>7092</v>
      </c>
      <c r="H18" s="15">
        <v>1194</v>
      </c>
      <c r="I18" s="15">
        <v>381</v>
      </c>
      <c r="J18" s="15">
        <v>610</v>
      </c>
      <c r="K18" s="6">
        <v>1</v>
      </c>
      <c r="L18" s="6"/>
      <c r="M18" s="6" t="s">
        <v>17</v>
      </c>
      <c r="N18" s="6">
        <v>179</v>
      </c>
      <c r="O18" s="6" t="s">
        <v>475</v>
      </c>
      <c r="P18" s="7">
        <v>45188</v>
      </c>
      <c r="Q18" s="6" t="s">
        <v>297</v>
      </c>
      <c r="S18" s="14" t="str">
        <f ca="1">IFERROR(__xludf.DUMMYFUNCTION("""COMPUTED_VALUE"""),"パイモン")</f>
        <v>パイモン</v>
      </c>
      <c r="T18" s="14" t="str">
        <f ca="1"/>
        <v>男性</v>
      </c>
      <c r="U18" s="14">
        <f ca="1"/>
        <v>179</v>
      </c>
      <c r="V18" s="14" t="str">
        <f ca="1"/>
        <v>不明</v>
      </c>
      <c r="W18" s="8">
        <f ca="1"/>
        <v>45188</v>
      </c>
      <c r="X18" s="14" t="str">
        <f ca="1"/>
        <v>？</v>
      </c>
      <c r="Z18" s="14" t="str">
        <v>水</v>
      </c>
    </row>
    <row r="19" spans="1:26" ht="15.75" customHeight="1" x14ac:dyDescent="0.25">
      <c r="A19" s="4" t="s">
        <v>50</v>
      </c>
      <c r="B19" s="10" t="s">
        <v>53</v>
      </c>
      <c r="C19" s="6" t="s">
        <v>14</v>
      </c>
      <c r="D19" s="6" t="s">
        <v>32</v>
      </c>
      <c r="E19" s="6" t="s">
        <v>29</v>
      </c>
      <c r="F19" s="6">
        <v>3</v>
      </c>
      <c r="G19" s="15">
        <v>7172</v>
      </c>
      <c r="H19" s="15">
        <v>1191</v>
      </c>
      <c r="I19" s="15">
        <v>420</v>
      </c>
      <c r="J19" s="15">
        <v>472</v>
      </c>
      <c r="K19" s="6">
        <v>1</v>
      </c>
      <c r="L19" s="6"/>
      <c r="M19" s="6" t="s">
        <v>17</v>
      </c>
      <c r="N19" s="6">
        <v>179</v>
      </c>
      <c r="O19" s="6" t="s">
        <v>475</v>
      </c>
      <c r="P19" s="7">
        <v>45188</v>
      </c>
      <c r="Q19" s="6" t="s">
        <v>297</v>
      </c>
      <c r="S19" s="14" t="str">
        <f ca="1">IFERROR(__xludf.DUMMYFUNCTION("""COMPUTED_VALUE"""),"パイモン")</f>
        <v>パイモン</v>
      </c>
      <c r="T19" s="14" t="str">
        <f ca="1"/>
        <v>男性</v>
      </c>
      <c r="U19" s="14">
        <f ca="1"/>
        <v>179</v>
      </c>
      <c r="V19" s="14" t="str">
        <f ca="1"/>
        <v>不明</v>
      </c>
      <c r="W19" s="8">
        <f ca="1"/>
        <v>45188</v>
      </c>
      <c r="X19" s="14" t="str">
        <f ca="1"/>
        <v>？</v>
      </c>
      <c r="Z19" s="14" t="str">
        <v>水</v>
      </c>
    </row>
    <row r="20" spans="1:26" ht="15.75" customHeight="1" x14ac:dyDescent="0.25">
      <c r="A20" s="4" t="s">
        <v>54</v>
      </c>
      <c r="B20" s="10" t="s">
        <v>55</v>
      </c>
      <c r="C20" s="6" t="s">
        <v>20</v>
      </c>
      <c r="D20" s="6" t="s">
        <v>32</v>
      </c>
      <c r="E20" s="6" t="s">
        <v>16</v>
      </c>
      <c r="F20" s="6">
        <v>2</v>
      </c>
      <c r="G20" s="15">
        <v>7733</v>
      </c>
      <c r="H20" s="15">
        <v>640</v>
      </c>
      <c r="I20" s="15">
        <v>523</v>
      </c>
      <c r="J20" s="15">
        <v>648</v>
      </c>
      <c r="K20" s="6">
        <v>1</v>
      </c>
      <c r="L20" s="6"/>
      <c r="M20" s="6" t="s">
        <v>30</v>
      </c>
      <c r="N20" s="6">
        <v>148</v>
      </c>
      <c r="O20" s="6">
        <v>14</v>
      </c>
      <c r="P20" s="7">
        <v>44944</v>
      </c>
      <c r="Q20" s="6" t="s">
        <v>480</v>
      </c>
      <c r="S20" s="14" t="str">
        <f ca="1">IFERROR(__xludf.DUMMYFUNCTION("""COMPUTED_VALUE"""),"ブエル")</f>
        <v>ブエル</v>
      </c>
      <c r="T20" s="14" t="str">
        <f ca="1"/>
        <v>女性</v>
      </c>
      <c r="U20" s="14">
        <f ca="1"/>
        <v>148</v>
      </c>
      <c r="V20" s="14">
        <f ca="1"/>
        <v>14</v>
      </c>
      <c r="W20" s="8">
        <f ca="1"/>
        <v>44944</v>
      </c>
      <c r="X20" s="14" t="str">
        <f ca="1"/>
        <v>モニカ</v>
      </c>
      <c r="Z20" s="14" t="str">
        <v>水</v>
      </c>
    </row>
    <row r="21" spans="1:26" ht="15.75" customHeight="1" x14ac:dyDescent="0.25">
      <c r="A21" s="4" t="s">
        <v>54</v>
      </c>
      <c r="B21" s="5" t="s">
        <v>56</v>
      </c>
      <c r="C21" s="6" t="s">
        <v>20</v>
      </c>
      <c r="D21" s="6" t="s">
        <v>15</v>
      </c>
      <c r="E21" s="6" t="s">
        <v>16</v>
      </c>
      <c r="F21" s="6">
        <v>4</v>
      </c>
      <c r="G21" s="15">
        <v>7275</v>
      </c>
      <c r="H21" s="15">
        <v>642</v>
      </c>
      <c r="I21" s="15">
        <v>477</v>
      </c>
      <c r="J21" s="15">
        <v>716</v>
      </c>
      <c r="K21" s="6">
        <v>1</v>
      </c>
      <c r="L21" s="6"/>
      <c r="M21" s="6" t="s">
        <v>30</v>
      </c>
      <c r="N21" s="6">
        <v>148</v>
      </c>
      <c r="O21" s="6">
        <v>14</v>
      </c>
      <c r="P21" s="7">
        <v>44944</v>
      </c>
      <c r="Q21" s="6" t="s">
        <v>480</v>
      </c>
      <c r="S21" s="14" t="str">
        <f ca="1">IFERROR(__xludf.DUMMYFUNCTION("""COMPUTED_VALUE"""),"ブエル")</f>
        <v>ブエル</v>
      </c>
      <c r="T21" s="14" t="str">
        <f ca="1"/>
        <v>女性</v>
      </c>
      <c r="U21" s="14">
        <f ca="1"/>
        <v>148</v>
      </c>
      <c r="V21" s="14">
        <f ca="1"/>
        <v>14</v>
      </c>
      <c r="W21" s="8">
        <f ca="1"/>
        <v>44944</v>
      </c>
      <c r="X21" s="14" t="str">
        <f ca="1"/>
        <v>モニカ</v>
      </c>
      <c r="Z21" s="14" t="str">
        <v>水</v>
      </c>
    </row>
    <row r="22" spans="1:26" ht="15.75" customHeight="1" x14ac:dyDescent="0.25">
      <c r="A22" s="4" t="s">
        <v>57</v>
      </c>
      <c r="B22" s="5" t="s">
        <v>58</v>
      </c>
      <c r="C22" s="6" t="s">
        <v>24</v>
      </c>
      <c r="D22" s="6" t="s">
        <v>15</v>
      </c>
      <c r="E22" s="6" t="s">
        <v>16</v>
      </c>
      <c r="F22" s="6">
        <v>5</v>
      </c>
      <c r="G22" s="15">
        <v>8586</v>
      </c>
      <c r="H22" s="15">
        <v>1037</v>
      </c>
      <c r="I22" s="15">
        <v>430</v>
      </c>
      <c r="J22" s="15">
        <v>491</v>
      </c>
      <c r="K22" s="6">
        <v>1</v>
      </c>
      <c r="L22" s="6"/>
      <c r="M22" s="6" t="s">
        <v>30</v>
      </c>
      <c r="N22" s="6">
        <v>140</v>
      </c>
      <c r="O22" s="6">
        <v>12</v>
      </c>
      <c r="P22" s="7">
        <v>45173</v>
      </c>
      <c r="Q22" s="6" t="s">
        <v>481</v>
      </c>
      <c r="S22" s="14" t="str">
        <f ca="1">IFERROR(__xludf.DUMMYFUNCTION("""COMPUTED_VALUE"""),"グシオン")</f>
        <v>グシオン</v>
      </c>
      <c r="T22" s="14" t="str">
        <f ca="1"/>
        <v>女性</v>
      </c>
      <c r="U22" s="14">
        <f ca="1"/>
        <v>140</v>
      </c>
      <c r="V22" s="14">
        <f ca="1"/>
        <v>12</v>
      </c>
      <c r="W22" s="8">
        <f ca="1"/>
        <v>45173</v>
      </c>
      <c r="X22" s="14" t="str">
        <f ca="1"/>
        <v>アネット</v>
      </c>
      <c r="Z22" s="14" t="str">
        <v>雷</v>
      </c>
    </row>
    <row r="23" spans="1:26" ht="15.75" customHeight="1" x14ac:dyDescent="0.25">
      <c r="A23" s="4" t="s">
        <v>57</v>
      </c>
      <c r="B23" s="9" t="s">
        <v>59</v>
      </c>
      <c r="C23" s="6" t="s">
        <v>20</v>
      </c>
      <c r="D23" s="6" t="s">
        <v>21</v>
      </c>
      <c r="E23" s="6" t="s">
        <v>16</v>
      </c>
      <c r="F23" s="6">
        <v>4</v>
      </c>
      <c r="G23" s="15">
        <v>7727</v>
      </c>
      <c r="H23" s="15">
        <v>857</v>
      </c>
      <c r="I23" s="15">
        <v>430</v>
      </c>
      <c r="J23" s="15">
        <v>697</v>
      </c>
      <c r="K23" s="6">
        <v>1</v>
      </c>
      <c r="L23" s="6"/>
      <c r="M23" s="6" t="s">
        <v>30</v>
      </c>
      <c r="N23" s="6">
        <v>140</v>
      </c>
      <c r="O23" s="6">
        <v>12</v>
      </c>
      <c r="P23" s="7">
        <v>45173</v>
      </c>
      <c r="Q23" s="6" t="s">
        <v>481</v>
      </c>
      <c r="S23" s="14" t="str">
        <f ca="1">IFERROR(__xludf.DUMMYFUNCTION("""COMPUTED_VALUE"""),"グシオン")</f>
        <v>グシオン</v>
      </c>
      <c r="T23" s="14" t="str">
        <f ca="1"/>
        <v>女性</v>
      </c>
      <c r="U23" s="14">
        <f ca="1"/>
        <v>140</v>
      </c>
      <c r="V23" s="14">
        <f ca="1"/>
        <v>12</v>
      </c>
      <c r="W23" s="8">
        <f ca="1"/>
        <v>45173</v>
      </c>
      <c r="X23" s="14" t="str">
        <f ca="1"/>
        <v>アネット</v>
      </c>
      <c r="Z23" s="14" t="str">
        <v>雷</v>
      </c>
    </row>
    <row r="24" spans="1:26" ht="15.75" customHeight="1" x14ac:dyDescent="0.25">
      <c r="A24" s="4" t="s">
        <v>60</v>
      </c>
      <c r="B24" s="10" t="s">
        <v>61</v>
      </c>
      <c r="C24" s="6" t="s">
        <v>24</v>
      </c>
      <c r="D24" s="6" t="s">
        <v>32</v>
      </c>
      <c r="E24" s="6" t="s">
        <v>62</v>
      </c>
      <c r="F24" s="6">
        <v>2</v>
      </c>
      <c r="G24" s="15">
        <v>8547</v>
      </c>
      <c r="H24" s="15">
        <v>1001</v>
      </c>
      <c r="I24" s="15">
        <v>487</v>
      </c>
      <c r="J24" s="15">
        <v>421</v>
      </c>
      <c r="K24" s="6">
        <v>1</v>
      </c>
      <c r="L24" s="6"/>
      <c r="M24" s="6" t="s">
        <v>30</v>
      </c>
      <c r="N24" s="6">
        <v>165</v>
      </c>
      <c r="O24" s="6" t="s">
        <v>475</v>
      </c>
      <c r="P24" s="7">
        <v>44966</v>
      </c>
      <c r="Q24" s="6" t="s">
        <v>482</v>
      </c>
      <c r="S24" s="14" t="str">
        <f ca="1">IFERROR(__xludf.DUMMYFUNCTION("""COMPUTED_VALUE"""),"シトリー")</f>
        <v>シトリー</v>
      </c>
      <c r="T24" s="14" t="str">
        <f ca="1"/>
        <v>女性</v>
      </c>
      <c r="U24" s="14">
        <f ca="1"/>
        <v>165</v>
      </c>
      <c r="V24" s="14" t="str">
        <f ca="1"/>
        <v>不明</v>
      </c>
      <c r="W24" s="8">
        <f ca="1"/>
        <v>44966</v>
      </c>
      <c r="X24" s="14" t="str">
        <f ca="1"/>
        <v>（忘却）</v>
      </c>
      <c r="Z24" s="14" t="str">
        <v>水</v>
      </c>
    </row>
    <row r="25" spans="1:26" ht="15.75" customHeight="1" x14ac:dyDescent="0.25">
      <c r="A25" s="4" t="s">
        <v>60</v>
      </c>
      <c r="B25" s="9" t="s">
        <v>63</v>
      </c>
      <c r="C25" s="6" t="s">
        <v>20</v>
      </c>
      <c r="D25" s="6" t="s">
        <v>21</v>
      </c>
      <c r="E25" s="6" t="s">
        <v>62</v>
      </c>
      <c r="F25" s="6">
        <v>5</v>
      </c>
      <c r="G25" s="15">
        <v>5667</v>
      </c>
      <c r="H25" s="15">
        <v>1176</v>
      </c>
      <c r="I25" s="15">
        <v>494</v>
      </c>
      <c r="J25" s="15">
        <v>476</v>
      </c>
      <c r="K25" s="6">
        <v>2</v>
      </c>
      <c r="L25" s="6"/>
      <c r="M25" s="6" t="s">
        <v>30</v>
      </c>
      <c r="N25" s="6">
        <v>165</v>
      </c>
      <c r="O25" s="6" t="s">
        <v>475</v>
      </c>
      <c r="P25" s="7">
        <v>44966</v>
      </c>
      <c r="Q25" s="6" t="s">
        <v>482</v>
      </c>
      <c r="S25" s="14" t="str">
        <f ca="1">IFERROR(__xludf.DUMMYFUNCTION("""COMPUTED_VALUE"""),"シトリー")</f>
        <v>シトリー</v>
      </c>
      <c r="T25" s="14" t="str">
        <f ca="1"/>
        <v>女性</v>
      </c>
      <c r="U25" s="14">
        <f ca="1"/>
        <v>165</v>
      </c>
      <c r="V25" s="14" t="str">
        <f ca="1"/>
        <v>不明</v>
      </c>
      <c r="W25" s="8">
        <f ca="1"/>
        <v>44966</v>
      </c>
      <c r="X25" s="14" t="str">
        <f ca="1"/>
        <v>（忘却）</v>
      </c>
      <c r="Z25" s="14" t="str">
        <v>雷</v>
      </c>
    </row>
    <row r="26" spans="1:26" ht="15.75" customHeight="1" x14ac:dyDescent="0.25">
      <c r="A26" s="4" t="s">
        <v>64</v>
      </c>
      <c r="B26" s="5" t="s">
        <v>65</v>
      </c>
      <c r="C26" s="6" t="s">
        <v>20</v>
      </c>
      <c r="D26" s="6" t="s">
        <v>15</v>
      </c>
      <c r="E26" s="6" t="s">
        <v>62</v>
      </c>
      <c r="F26" s="6">
        <v>5</v>
      </c>
      <c r="G26" s="15">
        <v>7097</v>
      </c>
      <c r="H26" s="15">
        <v>1354</v>
      </c>
      <c r="I26" s="15">
        <v>407</v>
      </c>
      <c r="J26" s="15">
        <v>470</v>
      </c>
      <c r="K26" s="6">
        <v>1</v>
      </c>
      <c r="L26" s="6"/>
      <c r="M26" s="6" t="s">
        <v>30</v>
      </c>
      <c r="N26" s="6">
        <v>147</v>
      </c>
      <c r="O26" s="6">
        <v>15</v>
      </c>
      <c r="P26" s="7">
        <v>44948</v>
      </c>
      <c r="Q26" s="6" t="s">
        <v>297</v>
      </c>
      <c r="S26" s="14" t="str">
        <f ca="1">IFERROR(__xludf.DUMMYFUNCTION("""COMPUTED_VALUE"""),"ベレト")</f>
        <v>ベレト</v>
      </c>
      <c r="T26" s="14" t="str">
        <f ca="1"/>
        <v>女性</v>
      </c>
      <c r="U26" s="14">
        <f ca="1"/>
        <v>147</v>
      </c>
      <c r="V26" s="14">
        <f ca="1"/>
        <v>15</v>
      </c>
      <c r="W26" s="8">
        <f ca="1"/>
        <v>44948</v>
      </c>
      <c r="X26" s="14" t="str">
        <f ca="1"/>
        <v>？</v>
      </c>
      <c r="Z26" s="14" t="str">
        <v>氷</v>
      </c>
    </row>
    <row r="27" spans="1:26" ht="15.75" customHeight="1" x14ac:dyDescent="0.25">
      <c r="A27" s="4" t="s">
        <v>64</v>
      </c>
      <c r="B27" s="9" t="s">
        <v>67</v>
      </c>
      <c r="C27" s="6" t="s">
        <v>14</v>
      </c>
      <c r="D27" s="6" t="s">
        <v>21</v>
      </c>
      <c r="E27" s="6" t="s">
        <v>62</v>
      </c>
      <c r="F27" s="6">
        <v>5</v>
      </c>
      <c r="G27" s="15">
        <v>5968</v>
      </c>
      <c r="H27" s="15">
        <v>1206</v>
      </c>
      <c r="I27" s="15">
        <v>411</v>
      </c>
      <c r="J27" s="15">
        <v>626</v>
      </c>
      <c r="K27" s="6">
        <v>1</v>
      </c>
      <c r="L27" s="6"/>
      <c r="M27" s="6" t="s">
        <v>30</v>
      </c>
      <c r="N27" s="6">
        <v>147</v>
      </c>
      <c r="O27" s="6">
        <v>15</v>
      </c>
      <c r="P27" s="7">
        <v>44948</v>
      </c>
      <c r="Q27" s="6" t="s">
        <v>297</v>
      </c>
      <c r="S27" s="14" t="str">
        <f ca="1">IFERROR(__xludf.DUMMYFUNCTION("""COMPUTED_VALUE"""),"ベレト")</f>
        <v>ベレト</v>
      </c>
      <c r="T27" s="14" t="str">
        <f ca="1"/>
        <v>女性</v>
      </c>
      <c r="U27" s="14">
        <f ca="1"/>
        <v>147</v>
      </c>
      <c r="V27" s="14">
        <f ca="1"/>
        <v>15</v>
      </c>
      <c r="W27" s="8">
        <f ca="1"/>
        <v>44948</v>
      </c>
      <c r="X27" s="14" t="str">
        <f ca="1"/>
        <v>？</v>
      </c>
      <c r="Z27" s="14" t="str">
        <v>氷</v>
      </c>
    </row>
    <row r="28" spans="1:26" ht="15.75" customHeight="1" x14ac:dyDescent="0.25">
      <c r="A28" s="4" t="s">
        <v>68</v>
      </c>
      <c r="B28" s="10" t="s">
        <v>69</v>
      </c>
      <c r="C28" s="6" t="s">
        <v>24</v>
      </c>
      <c r="D28" s="6" t="s">
        <v>32</v>
      </c>
      <c r="E28" s="6" t="s">
        <v>16</v>
      </c>
      <c r="F28" s="6">
        <v>2</v>
      </c>
      <c r="G28" s="15">
        <v>6116</v>
      </c>
      <c r="H28" s="15">
        <v>1210</v>
      </c>
      <c r="I28" s="15">
        <v>644</v>
      </c>
      <c r="J28" s="15">
        <v>430</v>
      </c>
      <c r="K28" s="6">
        <v>1</v>
      </c>
      <c r="L28" s="6"/>
      <c r="M28" s="6" t="s">
        <v>30</v>
      </c>
      <c r="N28" s="6">
        <v>161</v>
      </c>
      <c r="O28" s="6">
        <v>18</v>
      </c>
      <c r="P28" s="7">
        <v>45029</v>
      </c>
      <c r="Q28" s="6" t="s">
        <v>483</v>
      </c>
      <c r="S28" s="14" t="str">
        <f ca="1">IFERROR(__xludf.DUMMYFUNCTION("""COMPUTED_VALUE"""),"レラジェ")</f>
        <v>レラジェ</v>
      </c>
      <c r="T28" s="14" t="str">
        <f ca="1"/>
        <v>女性</v>
      </c>
      <c r="U28" s="14">
        <f ca="1"/>
        <v>161</v>
      </c>
      <c r="V28" s="14">
        <f ca="1"/>
        <v>18</v>
      </c>
      <c r="W28" s="8">
        <f ca="1"/>
        <v>45029</v>
      </c>
      <c r="X28" s="14" t="str">
        <f ca="1"/>
        <v>（本名）</v>
      </c>
      <c r="Z28" s="14" t="str">
        <v>風</v>
      </c>
    </row>
    <row r="29" spans="1:26" ht="15.75" customHeight="1" x14ac:dyDescent="0.25">
      <c r="A29" s="4" t="s">
        <v>68</v>
      </c>
      <c r="B29" s="9" t="s">
        <v>70</v>
      </c>
      <c r="C29" s="6" t="s">
        <v>20</v>
      </c>
      <c r="D29" s="6" t="s">
        <v>21</v>
      </c>
      <c r="E29" s="6" t="s">
        <v>16</v>
      </c>
      <c r="F29" s="6">
        <v>3</v>
      </c>
      <c r="G29" s="15">
        <v>5980</v>
      </c>
      <c r="H29" s="15">
        <v>1386</v>
      </c>
      <c r="I29" s="15">
        <v>424</v>
      </c>
      <c r="J29" s="15">
        <v>475</v>
      </c>
      <c r="K29" s="6">
        <v>1</v>
      </c>
      <c r="L29" s="6"/>
      <c r="M29" s="6" t="s">
        <v>30</v>
      </c>
      <c r="N29" s="6">
        <v>161</v>
      </c>
      <c r="O29" s="6">
        <v>18</v>
      </c>
      <c r="P29" s="7">
        <v>45029</v>
      </c>
      <c r="Q29" s="6" t="s">
        <v>483</v>
      </c>
      <c r="S29" s="14" t="str">
        <f ca="1">IFERROR(__xludf.DUMMYFUNCTION("""COMPUTED_VALUE"""),"レラジェ")</f>
        <v>レラジェ</v>
      </c>
      <c r="T29" s="14" t="str">
        <f ca="1"/>
        <v>女性</v>
      </c>
      <c r="U29" s="14">
        <f ca="1"/>
        <v>161</v>
      </c>
      <c r="V29" s="14">
        <f ca="1"/>
        <v>18</v>
      </c>
      <c r="W29" s="8">
        <f ca="1"/>
        <v>45029</v>
      </c>
      <c r="X29" s="14" t="str">
        <f ca="1"/>
        <v>（本名）</v>
      </c>
      <c r="Z29" s="14" t="str">
        <v>風</v>
      </c>
    </row>
    <row r="30" spans="1:26" ht="15.75" customHeight="1" x14ac:dyDescent="0.25">
      <c r="A30" s="4" t="s">
        <v>71</v>
      </c>
      <c r="B30" s="5" t="s">
        <v>72</v>
      </c>
      <c r="C30" s="6" t="s">
        <v>20</v>
      </c>
      <c r="D30" s="6" t="s">
        <v>15</v>
      </c>
      <c r="E30" s="6" t="s">
        <v>29</v>
      </c>
      <c r="F30" s="6">
        <v>6</v>
      </c>
      <c r="G30" s="15">
        <v>7119</v>
      </c>
      <c r="H30" s="15">
        <v>1280</v>
      </c>
      <c r="I30" s="15">
        <v>410</v>
      </c>
      <c r="J30" s="15">
        <v>462</v>
      </c>
      <c r="K30" s="6">
        <v>2</v>
      </c>
      <c r="L30" s="6"/>
      <c r="M30" s="6" t="s">
        <v>30</v>
      </c>
      <c r="N30" s="6">
        <v>163</v>
      </c>
      <c r="O30" s="6">
        <v>25</v>
      </c>
      <c r="P30" s="7">
        <v>45055</v>
      </c>
      <c r="Q30" s="6" t="s">
        <v>297</v>
      </c>
      <c r="S30" s="14" t="str">
        <f ca="1">IFERROR(__xludf.DUMMYFUNCTION("""COMPUTED_VALUE"""),"エリゴス")</f>
        <v>エリゴス</v>
      </c>
      <c r="T30" s="14" t="str">
        <f ca="1"/>
        <v>女性</v>
      </c>
      <c r="U30" s="14">
        <f ca="1"/>
        <v>163</v>
      </c>
      <c r="V30" s="14">
        <f ca="1"/>
        <v>25</v>
      </c>
      <c r="W30" s="8">
        <f ca="1"/>
        <v>45055</v>
      </c>
      <c r="X30" s="14" t="str">
        <f ca="1"/>
        <v>？</v>
      </c>
      <c r="Z30" s="14" t="str">
        <v>火</v>
      </c>
    </row>
    <row r="31" spans="1:26" ht="15.75" customHeight="1" x14ac:dyDescent="0.25">
      <c r="A31" s="4" t="s">
        <v>71</v>
      </c>
      <c r="B31" s="10" t="s">
        <v>73</v>
      </c>
      <c r="C31" s="6" t="s">
        <v>20</v>
      </c>
      <c r="D31" s="6" t="s">
        <v>32</v>
      </c>
      <c r="E31" s="6" t="s">
        <v>29</v>
      </c>
      <c r="F31" s="6">
        <v>2</v>
      </c>
      <c r="G31" s="15">
        <v>5896</v>
      </c>
      <c r="H31" s="15">
        <v>768</v>
      </c>
      <c r="I31" s="15">
        <v>622</v>
      </c>
      <c r="J31" s="15">
        <v>627</v>
      </c>
      <c r="K31" s="6">
        <v>2</v>
      </c>
      <c r="L31" s="6"/>
      <c r="M31" s="6" t="s">
        <v>30</v>
      </c>
      <c r="N31" s="6">
        <v>163</v>
      </c>
      <c r="O31" s="6">
        <v>25</v>
      </c>
      <c r="P31" s="7">
        <v>45055</v>
      </c>
      <c r="Q31" s="6" t="s">
        <v>297</v>
      </c>
      <c r="S31" s="14" t="str">
        <f ca="1">IFERROR(__xludf.DUMMYFUNCTION("""COMPUTED_VALUE"""),"エリゴス")</f>
        <v>エリゴス</v>
      </c>
      <c r="T31" s="14" t="str">
        <f ca="1"/>
        <v>女性</v>
      </c>
      <c r="U31" s="14">
        <f ca="1"/>
        <v>163</v>
      </c>
      <c r="V31" s="14">
        <f ca="1"/>
        <v>25</v>
      </c>
      <c r="W31" s="8">
        <f ca="1"/>
        <v>45055</v>
      </c>
      <c r="X31" s="14" t="str">
        <f ca="1"/>
        <v>？</v>
      </c>
      <c r="Z31" s="14" t="str">
        <v>雷</v>
      </c>
    </row>
    <row r="32" spans="1:26" ht="15.75" customHeight="1" x14ac:dyDescent="0.25">
      <c r="A32" s="4" t="s">
        <v>74</v>
      </c>
      <c r="B32" s="9" t="s">
        <v>75</v>
      </c>
      <c r="C32" s="6" t="s">
        <v>20</v>
      </c>
      <c r="D32" s="6" t="s">
        <v>21</v>
      </c>
      <c r="E32" s="6" t="s">
        <v>29</v>
      </c>
      <c r="F32" s="6">
        <v>4</v>
      </c>
      <c r="G32" s="15">
        <v>6210</v>
      </c>
      <c r="H32" s="15">
        <v>1150</v>
      </c>
      <c r="I32" s="15">
        <v>409</v>
      </c>
      <c r="J32" s="15">
        <v>642</v>
      </c>
      <c r="K32" s="6">
        <v>1</v>
      </c>
      <c r="L32" s="6"/>
      <c r="M32" s="6" t="s">
        <v>30</v>
      </c>
      <c r="N32" s="6">
        <v>153</v>
      </c>
      <c r="O32" s="6">
        <v>15</v>
      </c>
      <c r="P32" s="7">
        <v>45052</v>
      </c>
      <c r="Q32" s="6" t="s">
        <v>484</v>
      </c>
      <c r="S32" s="14" t="str">
        <f ca="1">IFERROR(__xludf.DUMMYFUNCTION("""COMPUTED_VALUE"""),"ゼパル")</f>
        <v>ゼパル</v>
      </c>
      <c r="T32" s="14" t="str">
        <f ca="1"/>
        <v>女性</v>
      </c>
      <c r="U32" s="14">
        <f ca="1"/>
        <v>153</v>
      </c>
      <c r="V32" s="14">
        <f ca="1"/>
        <v>15</v>
      </c>
      <c r="W32" s="8">
        <f ca="1"/>
        <v>45052</v>
      </c>
      <c r="X32" s="14" t="str">
        <f ca="1"/>
        <v>アンナ</v>
      </c>
      <c r="Z32" s="14" t="str">
        <v>火</v>
      </c>
    </row>
    <row r="33" spans="1:26" ht="15.75" customHeight="1" x14ac:dyDescent="0.25">
      <c r="A33" s="4" t="s">
        <v>74</v>
      </c>
      <c r="B33" s="10" t="s">
        <v>76</v>
      </c>
      <c r="C33" s="6" t="s">
        <v>20</v>
      </c>
      <c r="D33" s="6" t="s">
        <v>32</v>
      </c>
      <c r="E33" s="6" t="s">
        <v>29</v>
      </c>
      <c r="F33" s="6">
        <v>2</v>
      </c>
      <c r="G33" s="15">
        <v>6210</v>
      </c>
      <c r="H33" s="15">
        <v>1209</v>
      </c>
      <c r="I33" s="15">
        <v>271</v>
      </c>
      <c r="J33" s="15">
        <v>693</v>
      </c>
      <c r="K33" s="6">
        <v>1</v>
      </c>
      <c r="L33" s="6"/>
      <c r="M33" s="6" t="s">
        <v>30</v>
      </c>
      <c r="N33" s="6">
        <v>153</v>
      </c>
      <c r="O33" s="6">
        <v>15</v>
      </c>
      <c r="P33" s="7">
        <v>45052</v>
      </c>
      <c r="Q33" s="6" t="s">
        <v>484</v>
      </c>
      <c r="S33" s="14" t="str">
        <f ca="1">IFERROR(__xludf.DUMMYFUNCTION("""COMPUTED_VALUE"""),"ゼパル")</f>
        <v>ゼパル</v>
      </c>
      <c r="T33" s="14" t="str">
        <f ca="1"/>
        <v>女性</v>
      </c>
      <c r="U33" s="14">
        <f ca="1"/>
        <v>153</v>
      </c>
      <c r="V33" s="14">
        <f ca="1"/>
        <v>15</v>
      </c>
      <c r="W33" s="8">
        <f ca="1"/>
        <v>45052</v>
      </c>
      <c r="X33" s="14" t="str">
        <f ca="1"/>
        <v>アンナ</v>
      </c>
      <c r="Z33" s="14" t="str">
        <v>火</v>
      </c>
    </row>
    <row r="34" spans="1:26" ht="15.75" customHeight="1" x14ac:dyDescent="0.25">
      <c r="A34" s="4" t="s">
        <v>77</v>
      </c>
      <c r="B34" s="10" t="s">
        <v>78</v>
      </c>
      <c r="C34" s="6" t="s">
        <v>24</v>
      </c>
      <c r="D34" s="6" t="s">
        <v>32</v>
      </c>
      <c r="E34" s="6" t="s">
        <v>62</v>
      </c>
      <c r="F34" s="6">
        <v>2</v>
      </c>
      <c r="G34" s="15">
        <v>6545</v>
      </c>
      <c r="H34" s="15">
        <v>1070</v>
      </c>
      <c r="I34" s="15">
        <v>505</v>
      </c>
      <c r="J34" s="15">
        <v>500</v>
      </c>
      <c r="K34" s="6">
        <v>1</v>
      </c>
      <c r="L34" s="6"/>
      <c r="M34" s="6" t="s">
        <v>30</v>
      </c>
      <c r="N34" s="6">
        <v>167</v>
      </c>
      <c r="O34" s="6">
        <v>24</v>
      </c>
      <c r="P34" s="7">
        <v>45280</v>
      </c>
      <c r="Q34" s="6" t="s">
        <v>297</v>
      </c>
      <c r="S34" s="14" t="str">
        <f ca="1">IFERROR(__xludf.DUMMYFUNCTION("""COMPUTED_VALUE"""),"ボティス")</f>
        <v>ボティス</v>
      </c>
      <c r="T34" s="14" t="str">
        <f ca="1"/>
        <v>女性</v>
      </c>
      <c r="U34" s="14">
        <f ca="1"/>
        <v>167</v>
      </c>
      <c r="V34" s="14">
        <f ca="1"/>
        <v>24</v>
      </c>
      <c r="W34" s="8">
        <f ca="1"/>
        <v>45280</v>
      </c>
      <c r="X34" s="14" t="str">
        <f ca="1"/>
        <v>？</v>
      </c>
      <c r="Z34" s="14" t="str">
        <v>雷</v>
      </c>
    </row>
    <row r="35" spans="1:26" ht="15.75" customHeight="1" x14ac:dyDescent="0.25">
      <c r="A35" s="4" t="s">
        <v>77</v>
      </c>
      <c r="B35" s="9" t="s">
        <v>79</v>
      </c>
      <c r="C35" s="6" t="s">
        <v>20</v>
      </c>
      <c r="D35" s="6" t="s">
        <v>21</v>
      </c>
      <c r="E35" s="6" t="s">
        <v>62</v>
      </c>
      <c r="F35" s="6">
        <v>4</v>
      </c>
      <c r="G35" s="15">
        <v>8845</v>
      </c>
      <c r="H35" s="15">
        <v>761</v>
      </c>
      <c r="I35" s="15">
        <v>717</v>
      </c>
      <c r="J35" s="15">
        <v>286</v>
      </c>
      <c r="K35" s="6">
        <v>1</v>
      </c>
      <c r="L35" s="6"/>
      <c r="M35" s="6" t="s">
        <v>30</v>
      </c>
      <c r="N35" s="6">
        <v>167</v>
      </c>
      <c r="O35" s="6">
        <v>24</v>
      </c>
      <c r="P35" s="7">
        <v>45280</v>
      </c>
      <c r="Q35" s="6" t="s">
        <v>297</v>
      </c>
      <c r="S35" s="14" t="str">
        <f ca="1">IFERROR(__xludf.DUMMYFUNCTION("""COMPUTED_VALUE"""),"ボティス")</f>
        <v>ボティス</v>
      </c>
      <c r="T35" s="14" t="str">
        <f ca="1"/>
        <v>女性</v>
      </c>
      <c r="U35" s="14">
        <f ca="1"/>
        <v>167</v>
      </c>
      <c r="V35" s="14">
        <f ca="1"/>
        <v>24</v>
      </c>
      <c r="W35" s="8">
        <f ca="1"/>
        <v>45280</v>
      </c>
      <c r="X35" s="14" t="str">
        <f ca="1"/>
        <v>？</v>
      </c>
      <c r="Z35" s="14" t="str">
        <v>雷</v>
      </c>
    </row>
    <row r="36" spans="1:26" ht="15.75" customHeight="1" x14ac:dyDescent="0.25">
      <c r="A36" s="4" t="s">
        <v>80</v>
      </c>
      <c r="B36" s="5" t="s">
        <v>81</v>
      </c>
      <c r="C36" s="6" t="s">
        <v>20</v>
      </c>
      <c r="D36" s="6" t="s">
        <v>15</v>
      </c>
      <c r="E36" s="6" t="s">
        <v>62</v>
      </c>
      <c r="F36" s="6">
        <v>5</v>
      </c>
      <c r="G36" s="15">
        <v>7379</v>
      </c>
      <c r="H36" s="15">
        <v>1362</v>
      </c>
      <c r="I36" s="15">
        <v>419</v>
      </c>
      <c r="J36" s="15">
        <v>431</v>
      </c>
      <c r="K36" s="6">
        <v>1</v>
      </c>
      <c r="L36" s="6"/>
      <c r="M36" s="6" t="s">
        <v>30</v>
      </c>
      <c r="N36" s="6">
        <v>163</v>
      </c>
      <c r="O36" s="6">
        <v>23</v>
      </c>
      <c r="P36" s="7">
        <v>44935</v>
      </c>
      <c r="Q36" s="6" t="s">
        <v>297</v>
      </c>
      <c r="S36" s="14" t="str">
        <f ca="1">IFERROR(__xludf.DUMMYFUNCTION("""COMPUTED_VALUE"""),"バティン")</f>
        <v>バティン</v>
      </c>
      <c r="T36" s="14" t="str">
        <f ca="1"/>
        <v>女性</v>
      </c>
      <c r="U36" s="14">
        <f ca="1"/>
        <v>163</v>
      </c>
      <c r="V36" s="14">
        <f ca="1"/>
        <v>23</v>
      </c>
      <c r="W36" s="8">
        <f ca="1"/>
        <v>44935</v>
      </c>
      <c r="X36" s="14" t="str">
        <f ca="1"/>
        <v>？</v>
      </c>
      <c r="Z36" s="14" t="str">
        <v>火</v>
      </c>
    </row>
    <row r="37" spans="1:26" ht="15.75" customHeight="1" x14ac:dyDescent="0.25">
      <c r="A37" s="4" t="s">
        <v>80</v>
      </c>
      <c r="B37" s="10" t="s">
        <v>82</v>
      </c>
      <c r="C37" s="6" t="s">
        <v>20</v>
      </c>
      <c r="D37" s="6" t="s">
        <v>32</v>
      </c>
      <c r="E37" s="6" t="s">
        <v>62</v>
      </c>
      <c r="F37" s="6">
        <v>3</v>
      </c>
      <c r="G37" s="15">
        <v>9140</v>
      </c>
      <c r="H37" s="15">
        <v>1222</v>
      </c>
      <c r="I37" s="15">
        <v>431</v>
      </c>
      <c r="J37" s="15">
        <v>423</v>
      </c>
      <c r="K37" s="6">
        <v>1</v>
      </c>
      <c r="L37" s="6"/>
      <c r="M37" s="6" t="s">
        <v>30</v>
      </c>
      <c r="N37" s="6">
        <v>163</v>
      </c>
      <c r="O37" s="6">
        <v>23</v>
      </c>
      <c r="P37" s="7">
        <v>44935</v>
      </c>
      <c r="Q37" s="6" t="s">
        <v>297</v>
      </c>
      <c r="S37" s="14" t="str">
        <f ca="1">IFERROR(__xludf.DUMMYFUNCTION("""COMPUTED_VALUE"""),"バティン")</f>
        <v>バティン</v>
      </c>
      <c r="T37" s="14" t="str">
        <f ca="1"/>
        <v>女性</v>
      </c>
      <c r="U37" s="14">
        <f ca="1"/>
        <v>163</v>
      </c>
      <c r="V37" s="14">
        <f ca="1"/>
        <v>23</v>
      </c>
      <c r="W37" s="8">
        <f ca="1"/>
        <v>44935</v>
      </c>
      <c r="X37" s="14" t="str">
        <f ca="1"/>
        <v>？</v>
      </c>
      <c r="Z37" s="14" t="str">
        <v>火</v>
      </c>
    </row>
    <row r="38" spans="1:26" ht="15.75" customHeight="1" x14ac:dyDescent="0.25">
      <c r="A38" s="4" t="s">
        <v>83</v>
      </c>
      <c r="B38" s="9" t="s">
        <v>84</v>
      </c>
      <c r="C38" s="6" t="s">
        <v>20</v>
      </c>
      <c r="D38" s="6" t="s">
        <v>21</v>
      </c>
      <c r="E38" s="6" t="s">
        <v>29</v>
      </c>
      <c r="F38" s="6">
        <v>4</v>
      </c>
      <c r="G38" s="15">
        <v>8330</v>
      </c>
      <c r="H38" s="15">
        <v>881</v>
      </c>
      <c r="I38" s="15">
        <v>525</v>
      </c>
      <c r="J38" s="15">
        <v>479</v>
      </c>
      <c r="K38" s="6">
        <v>1</v>
      </c>
      <c r="L38" s="6"/>
      <c r="M38" s="6" t="s">
        <v>17</v>
      </c>
      <c r="N38" s="6">
        <v>165</v>
      </c>
      <c r="O38" s="6">
        <v>25</v>
      </c>
      <c r="P38" s="7">
        <v>45116</v>
      </c>
      <c r="Q38" s="6" t="s">
        <v>297</v>
      </c>
      <c r="S38" s="14" t="str">
        <f ca="1">IFERROR(__xludf.DUMMYFUNCTION("""COMPUTED_VALUE"""),"サレオス")</f>
        <v>サレオス</v>
      </c>
      <c r="T38" s="14" t="str">
        <f ca="1"/>
        <v>男性</v>
      </c>
      <c r="U38" s="14">
        <f ca="1"/>
        <v>165</v>
      </c>
      <c r="V38" s="14">
        <f ca="1"/>
        <v>25</v>
      </c>
      <c r="W38" s="8">
        <f ca="1"/>
        <v>45116</v>
      </c>
      <c r="X38" s="14" t="str">
        <f ca="1"/>
        <v>？</v>
      </c>
      <c r="Z38" s="14" t="str">
        <v>水</v>
      </c>
    </row>
    <row r="39" spans="1:26" ht="15.75" customHeight="1" x14ac:dyDescent="0.25">
      <c r="A39" s="4" t="s">
        <v>83</v>
      </c>
      <c r="B39" s="5" t="s">
        <v>85</v>
      </c>
      <c r="C39" s="6" t="s">
        <v>20</v>
      </c>
      <c r="D39" s="6" t="s">
        <v>15</v>
      </c>
      <c r="E39" s="6" t="s">
        <v>29</v>
      </c>
      <c r="F39" s="6">
        <v>4</v>
      </c>
      <c r="G39" s="15">
        <v>8474</v>
      </c>
      <c r="H39" s="15">
        <v>945</v>
      </c>
      <c r="I39" s="15">
        <v>490</v>
      </c>
      <c r="J39" s="15">
        <v>424</v>
      </c>
      <c r="K39" s="6">
        <v>1</v>
      </c>
      <c r="L39" s="6"/>
      <c r="M39" s="6" t="s">
        <v>17</v>
      </c>
      <c r="N39" s="6">
        <v>165</v>
      </c>
      <c r="O39" s="6">
        <v>25</v>
      </c>
      <c r="P39" s="7">
        <v>45116</v>
      </c>
      <c r="Q39" s="6" t="s">
        <v>297</v>
      </c>
      <c r="S39" s="14" t="str">
        <f ca="1">IFERROR(__xludf.DUMMYFUNCTION("""COMPUTED_VALUE"""),"サレオス")</f>
        <v>サレオス</v>
      </c>
      <c r="T39" s="14" t="str">
        <f ca="1"/>
        <v>男性</v>
      </c>
      <c r="U39" s="14">
        <f ca="1"/>
        <v>165</v>
      </c>
      <c r="V39" s="14">
        <f ca="1"/>
        <v>25</v>
      </c>
      <c r="W39" s="8">
        <f ca="1"/>
        <v>45116</v>
      </c>
      <c r="X39" s="14" t="str">
        <f ca="1"/>
        <v>？</v>
      </c>
      <c r="Z39" s="14" t="str">
        <v>水</v>
      </c>
    </row>
    <row r="40" spans="1:26" ht="15.75" customHeight="1" x14ac:dyDescent="0.25">
      <c r="A40" s="4" t="s">
        <v>86</v>
      </c>
      <c r="B40" s="5" t="s">
        <v>87</v>
      </c>
      <c r="C40" s="6" t="s">
        <v>14</v>
      </c>
      <c r="D40" s="6" t="s">
        <v>15</v>
      </c>
      <c r="E40" s="6" t="s">
        <v>62</v>
      </c>
      <c r="F40" s="6">
        <v>4</v>
      </c>
      <c r="G40" s="15">
        <v>7094</v>
      </c>
      <c r="H40" s="15">
        <v>1225</v>
      </c>
      <c r="I40" s="15">
        <v>514</v>
      </c>
      <c r="J40" s="15">
        <v>392</v>
      </c>
      <c r="K40" s="6">
        <v>1</v>
      </c>
      <c r="L40" s="6"/>
      <c r="M40" s="6" t="s">
        <v>17</v>
      </c>
      <c r="N40" s="6">
        <v>166</v>
      </c>
      <c r="O40" s="6">
        <v>16</v>
      </c>
      <c r="P40" s="7">
        <v>45039</v>
      </c>
      <c r="Q40" s="6" t="s">
        <v>485</v>
      </c>
      <c r="S40" s="14" t="str">
        <f ca="1">IFERROR(__xludf.DUMMYFUNCTION("""COMPUTED_VALUE"""),"プルソン")</f>
        <v>プルソン</v>
      </c>
      <c r="T40" s="14" t="str">
        <f ca="1"/>
        <v>男性</v>
      </c>
      <c r="U40" s="14">
        <f ca="1"/>
        <v>166</v>
      </c>
      <c r="V40" s="14">
        <f ca="1"/>
        <v>16</v>
      </c>
      <c r="W40" s="8">
        <f ca="1"/>
        <v>45039</v>
      </c>
      <c r="X40" s="14" t="str">
        <f ca="1"/>
        <v>エルデ</v>
      </c>
      <c r="Z40" s="14" t="str">
        <v>地</v>
      </c>
    </row>
    <row r="41" spans="1:26" ht="15.75" customHeight="1" x14ac:dyDescent="0.25">
      <c r="A41" s="4" t="s">
        <v>86</v>
      </c>
      <c r="B41" s="10" t="s">
        <v>88</v>
      </c>
      <c r="C41" s="6" t="s">
        <v>20</v>
      </c>
      <c r="D41" s="6" t="s">
        <v>32</v>
      </c>
      <c r="E41" s="6" t="s">
        <v>62</v>
      </c>
      <c r="F41" s="6">
        <v>3</v>
      </c>
      <c r="G41" s="15">
        <v>8688</v>
      </c>
      <c r="H41" s="15">
        <v>975</v>
      </c>
      <c r="I41" s="15">
        <v>412</v>
      </c>
      <c r="J41" s="15">
        <v>475</v>
      </c>
      <c r="K41" s="6">
        <v>1</v>
      </c>
      <c r="L41" s="6"/>
      <c r="M41" s="6" t="s">
        <v>17</v>
      </c>
      <c r="N41" s="6">
        <v>166</v>
      </c>
      <c r="O41" s="6">
        <v>16</v>
      </c>
      <c r="P41" s="7">
        <v>45039</v>
      </c>
      <c r="Q41" s="6" t="s">
        <v>485</v>
      </c>
      <c r="S41" s="14" t="str">
        <f ca="1">IFERROR(__xludf.DUMMYFUNCTION("""COMPUTED_VALUE"""),"プルソン")</f>
        <v>プルソン</v>
      </c>
      <c r="T41" s="14" t="str">
        <f ca="1"/>
        <v>男性</v>
      </c>
      <c r="U41" s="14">
        <f ca="1"/>
        <v>166</v>
      </c>
      <c r="V41" s="14">
        <f ca="1"/>
        <v>16</v>
      </c>
      <c r="W41" s="8">
        <f ca="1"/>
        <v>45039</v>
      </c>
      <c r="X41" s="14" t="str">
        <f ca="1"/>
        <v>エルデ</v>
      </c>
      <c r="Z41" s="14" t="str">
        <v>地</v>
      </c>
    </row>
    <row r="42" spans="1:26" ht="15.75" customHeight="1" x14ac:dyDescent="0.25">
      <c r="A42" s="4" t="s">
        <v>89</v>
      </c>
      <c r="B42" s="10" t="s">
        <v>90</v>
      </c>
      <c r="C42" s="6" t="s">
        <v>20</v>
      </c>
      <c r="D42" s="6" t="s">
        <v>32</v>
      </c>
      <c r="E42" s="6" t="s">
        <v>29</v>
      </c>
      <c r="F42" s="6">
        <v>3</v>
      </c>
      <c r="G42" s="15">
        <v>6519</v>
      </c>
      <c r="H42" s="15">
        <v>1318</v>
      </c>
      <c r="I42" s="15">
        <v>285</v>
      </c>
      <c r="J42" s="15">
        <v>644</v>
      </c>
      <c r="K42" s="6">
        <v>2</v>
      </c>
      <c r="L42" s="6"/>
      <c r="M42" s="6" t="s">
        <v>17</v>
      </c>
      <c r="N42" s="6">
        <v>151</v>
      </c>
      <c r="O42" s="6">
        <v>15</v>
      </c>
      <c r="P42" s="7">
        <v>45178</v>
      </c>
      <c r="Q42" s="6" t="s">
        <v>483</v>
      </c>
      <c r="S42" s="14" t="str">
        <f ca="1">IFERROR(__xludf.DUMMYFUNCTION("""COMPUTED_VALUE"""),"モラクス")</f>
        <v>モラクス</v>
      </c>
      <c r="T42" s="14" t="str">
        <f ca="1"/>
        <v>男性</v>
      </c>
      <c r="U42" s="14">
        <f ca="1"/>
        <v>151</v>
      </c>
      <c r="V42" s="14">
        <f ca="1"/>
        <v>15</v>
      </c>
      <c r="W42" s="8">
        <f ca="1"/>
        <v>45178</v>
      </c>
      <c r="X42" s="14" t="str">
        <f ca="1"/>
        <v>（本名）</v>
      </c>
      <c r="Z42" s="14" t="str">
        <v>火</v>
      </c>
    </row>
    <row r="43" spans="1:26" ht="15.75" customHeight="1" x14ac:dyDescent="0.25">
      <c r="A43" s="4" t="s">
        <v>89</v>
      </c>
      <c r="B43" s="5" t="s">
        <v>91</v>
      </c>
      <c r="C43" s="6" t="s">
        <v>14</v>
      </c>
      <c r="D43" s="6" t="s">
        <v>15</v>
      </c>
      <c r="E43" s="6" t="s">
        <v>29</v>
      </c>
      <c r="F43" s="6">
        <v>4</v>
      </c>
      <c r="G43" s="15">
        <v>6025</v>
      </c>
      <c r="H43" s="15">
        <v>1218</v>
      </c>
      <c r="I43" s="15">
        <v>414</v>
      </c>
      <c r="J43" s="15">
        <v>614</v>
      </c>
      <c r="K43" s="6">
        <v>1</v>
      </c>
      <c r="L43" s="6"/>
      <c r="M43" s="6" t="s">
        <v>17</v>
      </c>
      <c r="N43" s="6">
        <v>151</v>
      </c>
      <c r="O43" s="6">
        <v>15</v>
      </c>
      <c r="P43" s="7">
        <v>45178</v>
      </c>
      <c r="Q43" s="6" t="s">
        <v>483</v>
      </c>
      <c r="S43" s="14" t="str">
        <f ca="1">IFERROR(__xludf.DUMMYFUNCTION("""COMPUTED_VALUE"""),"モラクス")</f>
        <v>モラクス</v>
      </c>
      <c r="T43" s="14" t="str">
        <f ca="1"/>
        <v>男性</v>
      </c>
      <c r="U43" s="14">
        <f ca="1"/>
        <v>151</v>
      </c>
      <c r="V43" s="14">
        <f ca="1"/>
        <v>15</v>
      </c>
      <c r="W43" s="8">
        <f ca="1"/>
        <v>45178</v>
      </c>
      <c r="X43" s="14" t="str">
        <f ca="1"/>
        <v>（本名）</v>
      </c>
      <c r="Z43" s="14" t="str">
        <v>火</v>
      </c>
    </row>
    <row r="44" spans="1:26" ht="15.75" customHeight="1" x14ac:dyDescent="0.25">
      <c r="A44" s="4" t="s">
        <v>92</v>
      </c>
      <c r="B44" s="9" t="s">
        <v>93</v>
      </c>
      <c r="C44" s="6" t="s">
        <v>24</v>
      </c>
      <c r="D44" s="6" t="s">
        <v>21</v>
      </c>
      <c r="E44" s="6" t="s">
        <v>29</v>
      </c>
      <c r="F44" s="6">
        <v>4</v>
      </c>
      <c r="G44" s="15">
        <v>8705</v>
      </c>
      <c r="H44" s="15">
        <v>617</v>
      </c>
      <c r="I44" s="15">
        <v>630</v>
      </c>
      <c r="J44" s="15">
        <v>489</v>
      </c>
      <c r="K44" s="6">
        <v>1</v>
      </c>
      <c r="L44" s="6"/>
      <c r="M44" s="6" t="s">
        <v>17</v>
      </c>
      <c r="N44" s="6">
        <v>187</v>
      </c>
      <c r="O44" s="6">
        <v>37</v>
      </c>
      <c r="P44" s="7">
        <v>45287</v>
      </c>
      <c r="Q44" s="6" t="s">
        <v>297</v>
      </c>
      <c r="S44" s="14" t="str">
        <f ca="1">IFERROR(__xludf.DUMMYFUNCTION("""COMPUTED_VALUE"""),"イポス")</f>
        <v>イポス</v>
      </c>
      <c r="T44" s="14" t="str">
        <f ca="1"/>
        <v>男性</v>
      </c>
      <c r="U44" s="14">
        <f ca="1"/>
        <v>187</v>
      </c>
      <c r="V44" s="14">
        <f ca="1"/>
        <v>37</v>
      </c>
      <c r="W44" s="8">
        <f ca="1"/>
        <v>45287</v>
      </c>
      <c r="X44" s="14" t="str">
        <f ca="1"/>
        <v>？</v>
      </c>
      <c r="Z44" s="14" t="str">
        <v>水</v>
      </c>
    </row>
    <row r="45" spans="1:26" ht="15.75" customHeight="1" x14ac:dyDescent="0.25">
      <c r="A45" s="4" t="s">
        <v>92</v>
      </c>
      <c r="B45" s="10" t="s">
        <v>94</v>
      </c>
      <c r="C45" s="6" t="s">
        <v>20</v>
      </c>
      <c r="D45" s="6" t="s">
        <v>32</v>
      </c>
      <c r="E45" s="6" t="s">
        <v>29</v>
      </c>
      <c r="F45" s="6">
        <v>3</v>
      </c>
      <c r="G45" s="15">
        <v>9320</v>
      </c>
      <c r="H45" s="15">
        <v>984</v>
      </c>
      <c r="I45" s="15">
        <v>286</v>
      </c>
      <c r="J45" s="15">
        <v>646</v>
      </c>
      <c r="K45" s="6">
        <v>1</v>
      </c>
      <c r="L45" s="6"/>
      <c r="M45" s="6" t="s">
        <v>17</v>
      </c>
      <c r="N45" s="6">
        <v>187</v>
      </c>
      <c r="O45" s="6">
        <v>37</v>
      </c>
      <c r="P45" s="7">
        <v>45287</v>
      </c>
      <c r="Q45" s="6" t="s">
        <v>297</v>
      </c>
      <c r="S45" s="14" t="str">
        <f ca="1">IFERROR(__xludf.DUMMYFUNCTION("""COMPUTED_VALUE"""),"イポス")</f>
        <v>イポス</v>
      </c>
      <c r="T45" s="14" t="str">
        <f ca="1"/>
        <v>男性</v>
      </c>
      <c r="U45" s="14">
        <f ca="1"/>
        <v>187</v>
      </c>
      <c r="V45" s="14">
        <f ca="1"/>
        <v>37</v>
      </c>
      <c r="W45" s="8">
        <f ca="1"/>
        <v>45287</v>
      </c>
      <c r="X45" s="14" t="str">
        <f ca="1"/>
        <v>？</v>
      </c>
      <c r="Z45" s="14" t="str">
        <v>水</v>
      </c>
    </row>
    <row r="46" spans="1:26" ht="15.75" customHeight="1" x14ac:dyDescent="0.25">
      <c r="A46" s="4" t="s">
        <v>95</v>
      </c>
      <c r="B46" s="10" t="s">
        <v>96</v>
      </c>
      <c r="C46" s="6" t="s">
        <v>20</v>
      </c>
      <c r="D46" s="6" t="s">
        <v>32</v>
      </c>
      <c r="E46" s="6" t="s">
        <v>16</v>
      </c>
      <c r="F46" s="6">
        <v>4</v>
      </c>
      <c r="G46" s="15">
        <v>8455</v>
      </c>
      <c r="H46" s="15">
        <v>751</v>
      </c>
      <c r="I46" s="15">
        <v>674</v>
      </c>
      <c r="J46" s="15">
        <v>280</v>
      </c>
      <c r="K46" s="6">
        <v>1</v>
      </c>
      <c r="L46" s="6"/>
      <c r="M46" s="6" t="s">
        <v>30</v>
      </c>
      <c r="N46" s="6">
        <v>160</v>
      </c>
      <c r="O46" s="6" t="s">
        <v>475</v>
      </c>
      <c r="P46" s="7">
        <v>45088</v>
      </c>
      <c r="Q46" s="6" t="s">
        <v>297</v>
      </c>
      <c r="S46" s="14" t="str">
        <f ca="1">IFERROR(__xludf.DUMMYFUNCTION("""COMPUTED_VALUE"""),"アイム")</f>
        <v>アイム</v>
      </c>
      <c r="T46" s="14" t="str">
        <f ca="1"/>
        <v>女性</v>
      </c>
      <c r="U46" s="14">
        <f ca="1"/>
        <v>160</v>
      </c>
      <c r="V46" s="14" t="str">
        <f ca="1"/>
        <v>不明</v>
      </c>
      <c r="W46" s="8">
        <f ca="1"/>
        <v>45088</v>
      </c>
      <c r="X46" s="14" t="str">
        <f ca="1"/>
        <v>？</v>
      </c>
      <c r="Z46" s="14" t="str">
        <v>水</v>
      </c>
    </row>
    <row r="47" spans="1:26" ht="15.75" customHeight="1" x14ac:dyDescent="0.25">
      <c r="A47" s="4" t="s">
        <v>95</v>
      </c>
      <c r="B47" s="5" t="s">
        <v>97</v>
      </c>
      <c r="C47" s="6" t="s">
        <v>20</v>
      </c>
      <c r="D47" s="6" t="s">
        <v>15</v>
      </c>
      <c r="E47" s="6" t="s">
        <v>16</v>
      </c>
      <c r="F47" s="6">
        <v>6</v>
      </c>
      <c r="G47" s="15">
        <v>5630</v>
      </c>
      <c r="H47" s="15">
        <v>1171</v>
      </c>
      <c r="I47" s="15">
        <v>426</v>
      </c>
      <c r="J47" s="15">
        <v>644</v>
      </c>
      <c r="K47" s="6">
        <v>1</v>
      </c>
      <c r="L47" s="6"/>
      <c r="M47" s="6" t="s">
        <v>30</v>
      </c>
      <c r="N47" s="6">
        <v>160</v>
      </c>
      <c r="O47" s="6" t="s">
        <v>475</v>
      </c>
      <c r="P47" s="7">
        <v>45088</v>
      </c>
      <c r="Q47" s="6" t="s">
        <v>297</v>
      </c>
      <c r="S47" s="14" t="str">
        <f ca="1">IFERROR(__xludf.DUMMYFUNCTION("""COMPUTED_VALUE"""),"アイム")</f>
        <v>アイム</v>
      </c>
      <c r="T47" s="14" t="str">
        <f ca="1"/>
        <v>女性</v>
      </c>
      <c r="U47" s="14">
        <f ca="1"/>
        <v>160</v>
      </c>
      <c r="V47" s="14" t="str">
        <f ca="1"/>
        <v>不明</v>
      </c>
      <c r="W47" s="8">
        <f ca="1"/>
        <v>45088</v>
      </c>
      <c r="X47" s="14" t="str">
        <f ca="1"/>
        <v>？</v>
      </c>
      <c r="Z47" s="14" t="str">
        <v>火</v>
      </c>
    </row>
    <row r="48" spans="1:26" ht="15.75" customHeight="1" x14ac:dyDescent="0.25">
      <c r="A48" s="4" t="s">
        <v>98</v>
      </c>
      <c r="B48" s="5" t="s">
        <v>99</v>
      </c>
      <c r="C48" s="6" t="s">
        <v>20</v>
      </c>
      <c r="D48" s="6" t="s">
        <v>15</v>
      </c>
      <c r="E48" s="6" t="s">
        <v>62</v>
      </c>
      <c r="F48" s="6">
        <v>5</v>
      </c>
      <c r="G48" s="15">
        <v>7261</v>
      </c>
      <c r="H48" s="15">
        <v>1080</v>
      </c>
      <c r="I48" s="15">
        <v>438</v>
      </c>
      <c r="J48" s="15">
        <v>506</v>
      </c>
      <c r="K48" s="6">
        <v>1</v>
      </c>
      <c r="L48" s="6"/>
      <c r="M48" s="6" t="s">
        <v>30</v>
      </c>
      <c r="N48" s="6">
        <v>162</v>
      </c>
      <c r="O48" s="6">
        <v>20</v>
      </c>
      <c r="P48" s="7">
        <v>45044</v>
      </c>
      <c r="Q48" s="6" t="s">
        <v>297</v>
      </c>
      <c r="S48" s="14" t="str">
        <f ca="1">IFERROR(__xludf.DUMMYFUNCTION("""COMPUTED_VALUE"""),"ナベリウス")</f>
        <v>ナベリウス</v>
      </c>
      <c r="T48" s="14" t="str">
        <f ca="1"/>
        <v>女性</v>
      </c>
      <c r="U48" s="14">
        <f ca="1"/>
        <v>162</v>
      </c>
      <c r="V48" s="14">
        <f ca="1"/>
        <v>20</v>
      </c>
      <c r="W48" s="8">
        <f ca="1"/>
        <v>45044</v>
      </c>
      <c r="X48" s="14" t="str">
        <f ca="1"/>
        <v>？</v>
      </c>
      <c r="Z48" s="14" t="str">
        <v>火</v>
      </c>
    </row>
    <row r="49" spans="1:26" ht="15.75" customHeight="1" x14ac:dyDescent="0.25">
      <c r="A49" s="4" t="s">
        <v>98</v>
      </c>
      <c r="B49" s="10" t="s">
        <v>100</v>
      </c>
      <c r="C49" s="6" t="s">
        <v>20</v>
      </c>
      <c r="D49" s="6" t="s">
        <v>32</v>
      </c>
      <c r="E49" s="6" t="s">
        <v>62</v>
      </c>
      <c r="F49" s="6">
        <v>4</v>
      </c>
      <c r="G49" s="15">
        <v>7544</v>
      </c>
      <c r="H49" s="15">
        <v>948</v>
      </c>
      <c r="I49" s="15">
        <v>501</v>
      </c>
      <c r="J49" s="15">
        <v>503</v>
      </c>
      <c r="K49" s="6">
        <v>1</v>
      </c>
      <c r="L49" s="6"/>
      <c r="M49" s="6" t="s">
        <v>30</v>
      </c>
      <c r="N49" s="6">
        <v>162</v>
      </c>
      <c r="O49" s="6">
        <v>20</v>
      </c>
      <c r="P49" s="7">
        <v>45044</v>
      </c>
      <c r="Q49" s="6" t="s">
        <v>297</v>
      </c>
      <c r="S49" s="14" t="str">
        <f ca="1">IFERROR(__xludf.DUMMYFUNCTION("""COMPUTED_VALUE"""),"ナベリウス")</f>
        <v>ナベリウス</v>
      </c>
      <c r="T49" s="14" t="str">
        <f ca="1"/>
        <v>女性</v>
      </c>
      <c r="U49" s="14">
        <f ca="1"/>
        <v>162</v>
      </c>
      <c r="V49" s="14">
        <f ca="1"/>
        <v>20</v>
      </c>
      <c r="W49" s="8">
        <f ca="1"/>
        <v>45044</v>
      </c>
      <c r="X49" s="14" t="str">
        <f ca="1"/>
        <v>？</v>
      </c>
      <c r="Z49" s="14" t="str">
        <v>火</v>
      </c>
    </row>
    <row r="50" spans="1:26" ht="15.75" customHeight="1" x14ac:dyDescent="0.25">
      <c r="A50" s="4" t="s">
        <v>101</v>
      </c>
      <c r="B50" s="9" t="s">
        <v>102</v>
      </c>
      <c r="C50" s="6" t="s">
        <v>20</v>
      </c>
      <c r="D50" s="6" t="s">
        <v>21</v>
      </c>
      <c r="E50" s="6" t="s">
        <v>62</v>
      </c>
      <c r="F50" s="6">
        <v>4</v>
      </c>
      <c r="G50" s="15">
        <v>7356</v>
      </c>
      <c r="H50" s="15">
        <v>1213</v>
      </c>
      <c r="I50" s="15">
        <v>467</v>
      </c>
      <c r="J50" s="15">
        <v>440</v>
      </c>
      <c r="K50" s="6">
        <v>1</v>
      </c>
      <c r="L50" s="6"/>
      <c r="M50" s="6" t="s">
        <v>17</v>
      </c>
      <c r="N50" s="6">
        <v>182</v>
      </c>
      <c r="O50" s="6">
        <v>24</v>
      </c>
      <c r="P50" s="7">
        <v>45057</v>
      </c>
      <c r="Q50" s="6" t="s">
        <v>297</v>
      </c>
      <c r="S50" s="14" t="str">
        <f ca="1">IFERROR(__xludf.DUMMYFUNCTION("""COMPUTED_VALUE"""),"グラシャラボラス")</f>
        <v>グラシャラボラス</v>
      </c>
      <c r="T50" s="14" t="str">
        <f ca="1"/>
        <v>男性</v>
      </c>
      <c r="U50" s="14">
        <f ca="1"/>
        <v>182</v>
      </c>
      <c r="V50" s="14">
        <f ca="1"/>
        <v>24</v>
      </c>
      <c r="W50" s="8">
        <f ca="1"/>
        <v>45057</v>
      </c>
      <c r="X50" s="14" t="str">
        <f ca="1"/>
        <v>？</v>
      </c>
      <c r="Z50" s="14" t="str">
        <v>雷</v>
      </c>
    </row>
    <row r="51" spans="1:26" ht="15.75" customHeight="1" x14ac:dyDescent="0.25">
      <c r="A51" s="4" t="s">
        <v>101</v>
      </c>
      <c r="B51" s="5" t="s">
        <v>103</v>
      </c>
      <c r="C51" s="6" t="s">
        <v>20</v>
      </c>
      <c r="D51" s="6" t="s">
        <v>15</v>
      </c>
      <c r="E51" s="6" t="s">
        <v>62</v>
      </c>
      <c r="F51" s="6">
        <v>6</v>
      </c>
      <c r="G51" s="15">
        <v>7290</v>
      </c>
      <c r="H51" s="15">
        <v>1170</v>
      </c>
      <c r="I51" s="15">
        <v>416</v>
      </c>
      <c r="J51" s="15">
        <v>494</v>
      </c>
      <c r="K51" s="6">
        <v>1</v>
      </c>
      <c r="L51" s="6"/>
      <c r="M51" s="6" t="s">
        <v>17</v>
      </c>
      <c r="N51" s="6">
        <v>182</v>
      </c>
      <c r="O51" s="6">
        <v>24</v>
      </c>
      <c r="P51" s="7">
        <v>45057</v>
      </c>
      <c r="Q51" s="6" t="s">
        <v>297</v>
      </c>
      <c r="S51" s="14" t="str">
        <f ca="1">IFERROR(__xludf.DUMMYFUNCTION("""COMPUTED_VALUE"""),"グラシャラボラス")</f>
        <v>グラシャラボラス</v>
      </c>
      <c r="T51" s="14" t="str">
        <f ca="1"/>
        <v>男性</v>
      </c>
      <c r="U51" s="14">
        <f ca="1"/>
        <v>182</v>
      </c>
      <c r="V51" s="14">
        <f ca="1"/>
        <v>24</v>
      </c>
      <c r="W51" s="8">
        <f ca="1"/>
        <v>45057</v>
      </c>
      <c r="X51" s="14" t="str">
        <f ca="1"/>
        <v>？</v>
      </c>
      <c r="Z51" s="14" t="str">
        <v>水</v>
      </c>
    </row>
    <row r="52" spans="1:26" ht="15.75" customHeight="1" x14ac:dyDescent="0.25">
      <c r="A52" s="4" t="s">
        <v>104</v>
      </c>
      <c r="B52" s="5" t="s">
        <v>105</v>
      </c>
      <c r="C52" s="6" t="s">
        <v>20</v>
      </c>
      <c r="D52" s="6" t="s">
        <v>15</v>
      </c>
      <c r="E52" s="6" t="s">
        <v>29</v>
      </c>
      <c r="F52" s="6">
        <v>6</v>
      </c>
      <c r="G52" s="15">
        <v>9000</v>
      </c>
      <c r="H52" s="15">
        <v>1430</v>
      </c>
      <c r="I52" s="15">
        <v>420</v>
      </c>
      <c r="J52" s="15">
        <v>271</v>
      </c>
      <c r="K52" s="6">
        <v>1</v>
      </c>
      <c r="L52" s="6"/>
      <c r="M52" s="6" t="s">
        <v>17</v>
      </c>
      <c r="N52" s="6">
        <v>195</v>
      </c>
      <c r="O52" s="6">
        <v>41</v>
      </c>
      <c r="P52" s="7">
        <v>45259</v>
      </c>
      <c r="Q52" s="6" t="s">
        <v>486</v>
      </c>
      <c r="S52" s="14" t="str">
        <f ca="1">IFERROR(__xludf.DUMMYFUNCTION("""COMPUTED_VALUE"""),"ブネ")</f>
        <v>ブネ</v>
      </c>
      <c r="T52" s="14" t="str">
        <f ca="1"/>
        <v>男性</v>
      </c>
      <c r="U52" s="14">
        <f ca="1"/>
        <v>195</v>
      </c>
      <c r="V52" s="14">
        <f ca="1"/>
        <v>41</v>
      </c>
      <c r="W52" s="8">
        <f ca="1"/>
        <v>45259</v>
      </c>
      <c r="X52" s="14" t="str">
        <f ca="1"/>
        <v>フガ</v>
      </c>
      <c r="Z52" s="14" t="str">
        <v>地</v>
      </c>
    </row>
    <row r="53" spans="1:26" ht="15.75" customHeight="1" x14ac:dyDescent="0.25">
      <c r="A53" s="4" t="s">
        <v>104</v>
      </c>
      <c r="B53" s="10" t="s">
        <v>106</v>
      </c>
      <c r="C53" s="6" t="s">
        <v>14</v>
      </c>
      <c r="D53" s="6" t="s">
        <v>32</v>
      </c>
      <c r="E53" s="6" t="s">
        <v>29</v>
      </c>
      <c r="F53" s="6">
        <v>3</v>
      </c>
      <c r="G53" s="15">
        <v>9049</v>
      </c>
      <c r="H53" s="15">
        <v>949</v>
      </c>
      <c r="I53" s="15">
        <v>497</v>
      </c>
      <c r="J53" s="15">
        <v>414</v>
      </c>
      <c r="K53" s="6">
        <v>1</v>
      </c>
      <c r="L53" s="6"/>
      <c r="M53" s="6" t="s">
        <v>17</v>
      </c>
      <c r="N53" s="6">
        <v>195</v>
      </c>
      <c r="O53" s="6">
        <v>41</v>
      </c>
      <c r="P53" s="7">
        <v>45259</v>
      </c>
      <c r="Q53" s="6" t="s">
        <v>486</v>
      </c>
      <c r="S53" s="14" t="str">
        <f ca="1">IFERROR(__xludf.DUMMYFUNCTION("""COMPUTED_VALUE"""),"ブネ")</f>
        <v>ブネ</v>
      </c>
      <c r="T53" s="14" t="str">
        <f ca="1"/>
        <v>男性</v>
      </c>
      <c r="U53" s="14">
        <f ca="1"/>
        <v>195</v>
      </c>
      <c r="V53" s="14">
        <f ca="1"/>
        <v>41</v>
      </c>
      <c r="W53" s="8">
        <f ca="1"/>
        <v>45259</v>
      </c>
      <c r="X53" s="14" t="str">
        <f ca="1"/>
        <v>フガ</v>
      </c>
      <c r="Z53" s="14" t="str">
        <v>地</v>
      </c>
    </row>
    <row r="54" spans="1:26" ht="15.75" customHeight="1" x14ac:dyDescent="0.25">
      <c r="A54" s="4" t="s">
        <v>107</v>
      </c>
      <c r="B54" s="10" t="s">
        <v>108</v>
      </c>
      <c r="C54" s="6" t="s">
        <v>20</v>
      </c>
      <c r="D54" s="6" t="s">
        <v>32</v>
      </c>
      <c r="E54" s="6" t="s">
        <v>29</v>
      </c>
      <c r="F54" s="6">
        <v>4</v>
      </c>
      <c r="G54" s="15">
        <v>9010</v>
      </c>
      <c r="H54" s="15">
        <v>1070</v>
      </c>
      <c r="I54" s="15">
        <v>612</v>
      </c>
      <c r="J54" s="15">
        <v>285</v>
      </c>
      <c r="K54" s="6">
        <v>1</v>
      </c>
      <c r="L54" s="6"/>
      <c r="M54" s="6" t="s">
        <v>17</v>
      </c>
      <c r="N54" s="6">
        <v>170</v>
      </c>
      <c r="O54" s="6">
        <v>18</v>
      </c>
      <c r="P54" s="7">
        <v>45265</v>
      </c>
      <c r="Q54" s="6" t="s">
        <v>297</v>
      </c>
      <c r="S54" s="14" t="str">
        <f ca="1">IFERROR(__xludf.DUMMYFUNCTION("""COMPUTED_VALUE"""),"ロノウェ")</f>
        <v>ロノウェ</v>
      </c>
      <c r="T54" s="14" t="str">
        <f ca="1"/>
        <v>男性</v>
      </c>
      <c r="U54" s="14">
        <f ca="1"/>
        <v>170</v>
      </c>
      <c r="V54" s="14">
        <f ca="1"/>
        <v>18</v>
      </c>
      <c r="W54" s="8">
        <f ca="1"/>
        <v>45265</v>
      </c>
      <c r="X54" s="14" t="str">
        <f ca="1"/>
        <v>？</v>
      </c>
      <c r="Z54" s="14" t="str">
        <v>水</v>
      </c>
    </row>
    <row r="55" spans="1:26" ht="15.75" customHeight="1" x14ac:dyDescent="0.25">
      <c r="A55" s="4" t="s">
        <v>107</v>
      </c>
      <c r="B55" s="9" t="s">
        <v>109</v>
      </c>
      <c r="C55" s="6" t="s">
        <v>20</v>
      </c>
      <c r="D55" s="6" t="s">
        <v>21</v>
      </c>
      <c r="E55" s="6" t="s">
        <v>29</v>
      </c>
      <c r="F55" s="6">
        <v>4</v>
      </c>
      <c r="G55" s="15">
        <v>10836</v>
      </c>
      <c r="H55" s="15">
        <v>645</v>
      </c>
      <c r="I55" s="15">
        <v>714</v>
      </c>
      <c r="J55" s="15">
        <v>285</v>
      </c>
      <c r="K55" s="6">
        <v>1</v>
      </c>
      <c r="L55" s="6"/>
      <c r="M55" s="6" t="s">
        <v>17</v>
      </c>
      <c r="N55" s="6">
        <v>170</v>
      </c>
      <c r="O55" s="6">
        <v>18</v>
      </c>
      <c r="P55" s="7">
        <v>45265</v>
      </c>
      <c r="Q55" s="6" t="s">
        <v>297</v>
      </c>
      <c r="S55" s="14" t="str">
        <f ca="1">IFERROR(__xludf.DUMMYFUNCTION("""COMPUTED_VALUE"""),"ロノウェ")</f>
        <v>ロノウェ</v>
      </c>
      <c r="T55" s="14" t="str">
        <f ca="1"/>
        <v>男性</v>
      </c>
      <c r="U55" s="14">
        <f ca="1"/>
        <v>170</v>
      </c>
      <c r="V55" s="14">
        <f ca="1"/>
        <v>18</v>
      </c>
      <c r="W55" s="8">
        <f ca="1"/>
        <v>45265</v>
      </c>
      <c r="X55" s="14" t="str">
        <f ca="1"/>
        <v>？</v>
      </c>
      <c r="Z55" s="14" t="str">
        <v>水</v>
      </c>
    </row>
    <row r="56" spans="1:26" ht="15.75" customHeight="1" x14ac:dyDescent="0.25">
      <c r="A56" s="4" t="s">
        <v>110</v>
      </c>
      <c r="B56" s="5" t="s">
        <v>111</v>
      </c>
      <c r="C56" s="6" t="s">
        <v>24</v>
      </c>
      <c r="D56" s="6" t="s">
        <v>15</v>
      </c>
      <c r="E56" s="6" t="s">
        <v>29</v>
      </c>
      <c r="F56" s="6">
        <v>4</v>
      </c>
      <c r="G56" s="15">
        <v>7942</v>
      </c>
      <c r="H56" s="15">
        <v>1053</v>
      </c>
      <c r="I56" s="15">
        <v>518</v>
      </c>
      <c r="J56" s="15">
        <v>432</v>
      </c>
      <c r="K56" s="6">
        <v>1</v>
      </c>
      <c r="L56" s="6"/>
      <c r="M56" s="6" t="s">
        <v>17</v>
      </c>
      <c r="N56" s="6">
        <v>180</v>
      </c>
      <c r="O56" s="6" t="s">
        <v>475</v>
      </c>
      <c r="P56" s="7">
        <v>44996</v>
      </c>
      <c r="Q56" s="6" t="s">
        <v>487</v>
      </c>
      <c r="S56" s="14" t="str">
        <f ca="1">IFERROR(__xludf.DUMMYFUNCTION("""COMPUTED_VALUE"""),"ベリト")</f>
        <v>ベリト</v>
      </c>
      <c r="T56" s="14" t="str">
        <f ca="1"/>
        <v>男性</v>
      </c>
      <c r="U56" s="14">
        <f ca="1"/>
        <v>180</v>
      </c>
      <c r="V56" s="14" t="str">
        <f ca="1"/>
        <v>不明</v>
      </c>
      <c r="W56" s="8">
        <f ca="1"/>
        <v>44996</v>
      </c>
      <c r="X56" s="14" t="str">
        <f ca="1"/>
        <v>ボルフ</v>
      </c>
      <c r="Z56" s="14" t="str">
        <v>雷</v>
      </c>
    </row>
    <row r="57" spans="1:26" ht="15.75" customHeight="1" x14ac:dyDescent="0.25">
      <c r="A57" s="4" t="s">
        <v>110</v>
      </c>
      <c r="B57" s="9" t="s">
        <v>112</v>
      </c>
      <c r="C57" s="6" t="s">
        <v>20</v>
      </c>
      <c r="D57" s="6" t="s">
        <v>21</v>
      </c>
      <c r="E57" s="6" t="s">
        <v>29</v>
      </c>
      <c r="F57" s="6">
        <v>3</v>
      </c>
      <c r="G57" s="15">
        <v>5631</v>
      </c>
      <c r="H57" s="15">
        <v>1226</v>
      </c>
      <c r="I57" s="15">
        <v>428</v>
      </c>
      <c r="J57" s="15">
        <v>623</v>
      </c>
      <c r="K57" s="6">
        <v>1</v>
      </c>
      <c r="L57" s="6"/>
      <c r="M57" s="6" t="s">
        <v>17</v>
      </c>
      <c r="N57" s="6">
        <v>180</v>
      </c>
      <c r="O57" s="6" t="s">
        <v>475</v>
      </c>
      <c r="P57" s="7">
        <v>44996</v>
      </c>
      <c r="Q57" s="6" t="s">
        <v>487</v>
      </c>
      <c r="S57" s="14" t="str">
        <f ca="1">IFERROR(__xludf.DUMMYFUNCTION("""COMPUTED_VALUE"""),"ベリト")</f>
        <v>ベリト</v>
      </c>
      <c r="T57" s="14" t="str">
        <f ca="1"/>
        <v>男性</v>
      </c>
      <c r="U57" s="14">
        <f ca="1"/>
        <v>180</v>
      </c>
      <c r="V57" s="14" t="str">
        <f ca="1"/>
        <v>不明</v>
      </c>
      <c r="W57" s="8">
        <f ca="1"/>
        <v>44996</v>
      </c>
      <c r="X57" s="14" t="str">
        <f ca="1"/>
        <v>ボルフ</v>
      </c>
      <c r="Z57" s="14" t="str">
        <v>雷</v>
      </c>
    </row>
    <row r="58" spans="1:26" ht="15.75" customHeight="1" x14ac:dyDescent="0.25">
      <c r="A58" s="4" t="s">
        <v>113</v>
      </c>
      <c r="B58" s="5" t="s">
        <v>114</v>
      </c>
      <c r="C58" s="6" t="s">
        <v>20</v>
      </c>
      <c r="D58" s="6" t="s">
        <v>15</v>
      </c>
      <c r="E58" s="6" t="s">
        <v>29</v>
      </c>
      <c r="F58" s="6">
        <v>6</v>
      </c>
      <c r="G58" s="15">
        <v>5945</v>
      </c>
      <c r="H58" s="15">
        <v>1216</v>
      </c>
      <c r="I58" s="15">
        <v>545</v>
      </c>
      <c r="J58" s="15">
        <v>413</v>
      </c>
      <c r="K58" s="6">
        <v>1</v>
      </c>
      <c r="L58" s="6"/>
      <c r="M58" s="6" t="s">
        <v>30</v>
      </c>
      <c r="N58" s="6">
        <v>170</v>
      </c>
      <c r="O58" s="6">
        <v>21</v>
      </c>
      <c r="P58" s="7">
        <v>45204</v>
      </c>
      <c r="Q58" s="6" t="s">
        <v>297</v>
      </c>
      <c r="S58" s="14" t="str">
        <f ca="1">IFERROR(__xludf.DUMMYFUNCTION("""COMPUTED_VALUE"""),"アスタロト")</f>
        <v>アスタロト</v>
      </c>
      <c r="T58" s="14" t="str">
        <f ca="1"/>
        <v>女性</v>
      </c>
      <c r="U58" s="14">
        <f ca="1"/>
        <v>170</v>
      </c>
      <c r="V58" s="14">
        <f ca="1"/>
        <v>21</v>
      </c>
      <c r="W58" s="8">
        <f ca="1"/>
        <v>45204</v>
      </c>
      <c r="X58" s="14" t="str">
        <f ca="1"/>
        <v>？</v>
      </c>
      <c r="Z58" s="14" t="str">
        <v>雷</v>
      </c>
    </row>
    <row r="59" spans="1:26" ht="15.75" customHeight="1" x14ac:dyDescent="0.25">
      <c r="A59" s="4" t="s">
        <v>113</v>
      </c>
      <c r="B59" s="10" t="s">
        <v>115</v>
      </c>
      <c r="C59" s="6" t="s">
        <v>20</v>
      </c>
      <c r="D59" s="6" t="s">
        <v>32</v>
      </c>
      <c r="E59" s="6" t="s">
        <v>29</v>
      </c>
      <c r="F59" s="6">
        <v>3</v>
      </c>
      <c r="G59" s="15">
        <v>7365</v>
      </c>
      <c r="H59" s="15">
        <v>1075</v>
      </c>
      <c r="I59" s="15">
        <v>496</v>
      </c>
      <c r="J59" s="15">
        <v>476</v>
      </c>
      <c r="K59" s="6">
        <v>1</v>
      </c>
      <c r="L59" s="6"/>
      <c r="M59" s="6" t="s">
        <v>30</v>
      </c>
      <c r="N59" s="6">
        <v>170</v>
      </c>
      <c r="O59" s="6">
        <v>21</v>
      </c>
      <c r="P59" s="7">
        <v>45204</v>
      </c>
      <c r="Q59" s="6" t="s">
        <v>297</v>
      </c>
      <c r="S59" s="14" t="str">
        <f ca="1">IFERROR(__xludf.DUMMYFUNCTION("""COMPUTED_VALUE"""),"アスタロト")</f>
        <v>アスタロト</v>
      </c>
      <c r="T59" s="14" t="str">
        <f ca="1"/>
        <v>女性</v>
      </c>
      <c r="U59" s="14">
        <f ca="1"/>
        <v>170</v>
      </c>
      <c r="V59" s="14">
        <f ca="1"/>
        <v>21</v>
      </c>
      <c r="W59" s="8">
        <f ca="1"/>
        <v>45204</v>
      </c>
      <c r="X59" s="14" t="str">
        <f ca="1"/>
        <v>？</v>
      </c>
      <c r="Z59" s="14" t="str">
        <v>氷</v>
      </c>
    </row>
    <row r="60" spans="1:26" ht="15.75" customHeight="1" x14ac:dyDescent="0.25">
      <c r="A60" s="4" t="s">
        <v>116</v>
      </c>
      <c r="B60" s="5" t="s">
        <v>117</v>
      </c>
      <c r="C60" s="6" t="s">
        <v>20</v>
      </c>
      <c r="D60" s="6" t="s">
        <v>15</v>
      </c>
      <c r="E60" s="6" t="s">
        <v>62</v>
      </c>
      <c r="F60" s="6">
        <v>5</v>
      </c>
      <c r="G60" s="15">
        <v>7642</v>
      </c>
      <c r="H60" s="15">
        <v>1201</v>
      </c>
      <c r="I60" s="15">
        <v>408</v>
      </c>
      <c r="J60" s="15">
        <v>487</v>
      </c>
      <c r="K60" s="6">
        <v>1</v>
      </c>
      <c r="L60" s="6"/>
      <c r="M60" s="6" t="s">
        <v>17</v>
      </c>
      <c r="N60" s="6">
        <v>178</v>
      </c>
      <c r="O60" s="6">
        <v>25</v>
      </c>
      <c r="P60" s="7">
        <v>44955</v>
      </c>
      <c r="Q60" s="6" t="s">
        <v>488</v>
      </c>
      <c r="S60" s="14" t="str">
        <f ca="1">IFERROR(__xludf.DUMMYFUNCTION("""COMPUTED_VALUE"""),"フォルネウス")</f>
        <v>フォルネウス</v>
      </c>
      <c r="T60" s="14" t="str">
        <f ca="1"/>
        <v>男性</v>
      </c>
      <c r="U60" s="14">
        <f ca="1"/>
        <v>178</v>
      </c>
      <c r="V60" s="14">
        <f ca="1"/>
        <v>25</v>
      </c>
      <c r="W60" s="8">
        <f ca="1"/>
        <v>44955</v>
      </c>
      <c r="X60" s="14" t="str">
        <f ca="1"/>
        <v>フォルス</v>
      </c>
      <c r="Z60" s="14" t="str">
        <v>氷</v>
      </c>
    </row>
    <row r="61" spans="1:26" ht="15.75" customHeight="1" x14ac:dyDescent="0.25">
      <c r="A61" s="4" t="s">
        <v>116</v>
      </c>
      <c r="B61" s="9" t="s">
        <v>118</v>
      </c>
      <c r="C61" s="6" t="s">
        <v>20</v>
      </c>
      <c r="D61" s="6" t="s">
        <v>21</v>
      </c>
      <c r="E61" s="6" t="s">
        <v>62</v>
      </c>
      <c r="F61" s="6">
        <v>4</v>
      </c>
      <c r="G61" s="15">
        <v>8521</v>
      </c>
      <c r="H61" s="15">
        <v>635</v>
      </c>
      <c r="I61" s="15">
        <v>487</v>
      </c>
      <c r="J61" s="15">
        <v>616</v>
      </c>
      <c r="K61" s="6">
        <v>1</v>
      </c>
      <c r="L61" s="6"/>
      <c r="M61" s="6" t="s">
        <v>17</v>
      </c>
      <c r="N61" s="6">
        <v>178</v>
      </c>
      <c r="O61" s="6">
        <v>25</v>
      </c>
      <c r="P61" s="7">
        <v>44955</v>
      </c>
      <c r="Q61" s="6" t="s">
        <v>488</v>
      </c>
      <c r="S61" s="14" t="str">
        <f ca="1">IFERROR(__xludf.DUMMYFUNCTION("""COMPUTED_VALUE"""),"フォルネウス")</f>
        <v>フォルネウス</v>
      </c>
      <c r="T61" s="14" t="str">
        <f ca="1"/>
        <v>男性</v>
      </c>
      <c r="U61" s="14">
        <f ca="1"/>
        <v>178</v>
      </c>
      <c r="V61" s="14">
        <f ca="1"/>
        <v>25</v>
      </c>
      <c r="W61" s="8">
        <f ca="1"/>
        <v>44955</v>
      </c>
      <c r="X61" s="14" t="str">
        <f ca="1"/>
        <v>フォルス</v>
      </c>
      <c r="Z61" s="14" t="str">
        <v>氷</v>
      </c>
    </row>
    <row r="62" spans="1:26" ht="15.75" customHeight="1" x14ac:dyDescent="0.25">
      <c r="A62" s="4" t="s">
        <v>119</v>
      </c>
      <c r="B62" s="9" t="s">
        <v>120</v>
      </c>
      <c r="C62" s="6" t="s">
        <v>24</v>
      </c>
      <c r="D62" s="6" t="s">
        <v>21</v>
      </c>
      <c r="E62" s="6" t="s">
        <v>16</v>
      </c>
      <c r="F62" s="6">
        <v>4</v>
      </c>
      <c r="G62" s="15">
        <v>6507</v>
      </c>
      <c r="H62" s="15">
        <v>884</v>
      </c>
      <c r="I62" s="15">
        <v>524</v>
      </c>
      <c r="J62" s="15">
        <v>611</v>
      </c>
      <c r="K62" s="6">
        <v>1</v>
      </c>
      <c r="L62" s="6"/>
      <c r="M62" s="6" t="s">
        <v>17</v>
      </c>
      <c r="N62" s="6">
        <v>176</v>
      </c>
      <c r="O62" s="6">
        <v>36</v>
      </c>
      <c r="P62" s="7">
        <v>45209</v>
      </c>
      <c r="Q62" s="6" t="s">
        <v>297</v>
      </c>
      <c r="S62" s="14" t="str">
        <f ca="1">IFERROR(__xludf.DUMMYFUNCTION("""COMPUTED_VALUE"""),"フォラス")</f>
        <v>フォラス</v>
      </c>
      <c r="T62" s="14" t="str">
        <f ca="1"/>
        <v>男性</v>
      </c>
      <c r="U62" s="14">
        <f ca="1"/>
        <v>176</v>
      </c>
      <c r="V62" s="14">
        <f ca="1"/>
        <v>36</v>
      </c>
      <c r="W62" s="8">
        <f ca="1"/>
        <v>45209</v>
      </c>
      <c r="X62" s="14" t="str">
        <f ca="1"/>
        <v>？</v>
      </c>
      <c r="Z62" s="14" t="str">
        <v>地</v>
      </c>
    </row>
    <row r="63" spans="1:26" ht="15.75" customHeight="1" x14ac:dyDescent="0.25">
      <c r="A63" s="4" t="s">
        <v>119</v>
      </c>
      <c r="B63" s="5" t="s">
        <v>121</v>
      </c>
      <c r="C63" s="6" t="s">
        <v>20</v>
      </c>
      <c r="D63" s="6" t="s">
        <v>15</v>
      </c>
      <c r="E63" s="6" t="s">
        <v>16</v>
      </c>
      <c r="F63" s="6">
        <v>5</v>
      </c>
      <c r="G63" s="15">
        <v>5724</v>
      </c>
      <c r="H63" s="15">
        <v>746</v>
      </c>
      <c r="I63" s="15">
        <v>491</v>
      </c>
      <c r="J63" s="15">
        <v>691</v>
      </c>
      <c r="K63" s="6">
        <v>1</v>
      </c>
      <c r="L63" s="6"/>
      <c r="M63" s="6" t="s">
        <v>17</v>
      </c>
      <c r="N63" s="6">
        <v>176</v>
      </c>
      <c r="O63" s="6">
        <v>36</v>
      </c>
      <c r="P63" s="7">
        <v>45209</v>
      </c>
      <c r="Q63" s="6" t="s">
        <v>297</v>
      </c>
      <c r="S63" s="14" t="str">
        <f ca="1">IFERROR(__xludf.DUMMYFUNCTION("""COMPUTED_VALUE"""),"フォラス")</f>
        <v>フォラス</v>
      </c>
      <c r="T63" s="14" t="str">
        <f ca="1"/>
        <v>男性</v>
      </c>
      <c r="U63" s="14">
        <f ca="1"/>
        <v>176</v>
      </c>
      <c r="V63" s="14">
        <f ca="1"/>
        <v>36</v>
      </c>
      <c r="W63" s="8">
        <f ca="1"/>
        <v>45209</v>
      </c>
      <c r="X63" s="14" t="str">
        <f ca="1"/>
        <v>？</v>
      </c>
      <c r="Z63" s="14" t="str">
        <v>地</v>
      </c>
    </row>
    <row r="64" spans="1:26" ht="15.75" customHeight="1" x14ac:dyDescent="0.25">
      <c r="A64" s="4" t="s">
        <v>122</v>
      </c>
      <c r="B64" s="10" t="s">
        <v>123</v>
      </c>
      <c r="C64" s="6" t="s">
        <v>124</v>
      </c>
      <c r="D64" s="6" t="s">
        <v>32</v>
      </c>
      <c r="E64" s="6" t="s">
        <v>29</v>
      </c>
      <c r="F64" s="6">
        <v>4</v>
      </c>
      <c r="G64" s="15">
        <v>8983</v>
      </c>
      <c r="H64" s="15">
        <v>1548</v>
      </c>
      <c r="I64" s="15">
        <v>454</v>
      </c>
      <c r="J64" s="15">
        <v>450</v>
      </c>
      <c r="K64" s="6">
        <v>2</v>
      </c>
      <c r="L64" s="6"/>
      <c r="M64" s="6" t="s">
        <v>30</v>
      </c>
      <c r="N64" s="6">
        <v>186</v>
      </c>
      <c r="O64" s="6" t="s">
        <v>475</v>
      </c>
      <c r="P64" s="7">
        <v>45248</v>
      </c>
      <c r="Q64" s="6" t="s">
        <v>297</v>
      </c>
      <c r="S64" s="14" t="str">
        <f ca="1">IFERROR(__xludf.DUMMYFUNCTION("""COMPUTED_VALUE"""),"アスモデウス")</f>
        <v>アスモデウス</v>
      </c>
      <c r="T64" s="14" t="str">
        <f ca="1"/>
        <v>女性</v>
      </c>
      <c r="U64" s="14">
        <f ca="1"/>
        <v>186</v>
      </c>
      <c r="V64" s="14" t="str">
        <f ca="1"/>
        <v>不明</v>
      </c>
      <c r="W64" s="8">
        <f ca="1"/>
        <v>45248</v>
      </c>
      <c r="X64" s="14" t="str">
        <f ca="1"/>
        <v>？</v>
      </c>
      <c r="Z64" s="14" t="str">
        <v>火</v>
      </c>
    </row>
    <row r="65" spans="1:26" ht="15.75" customHeight="1" x14ac:dyDescent="0.25">
      <c r="A65" s="4" t="s">
        <v>122</v>
      </c>
      <c r="B65" s="5" t="s">
        <v>125</v>
      </c>
      <c r="C65" s="6" t="s">
        <v>14</v>
      </c>
      <c r="D65" s="6" t="s">
        <v>15</v>
      </c>
      <c r="E65" s="6" t="s">
        <v>29</v>
      </c>
      <c r="F65" s="6">
        <v>6</v>
      </c>
      <c r="G65" s="15">
        <v>8686</v>
      </c>
      <c r="H65" s="15">
        <v>1402</v>
      </c>
      <c r="I65" s="15">
        <v>423</v>
      </c>
      <c r="J65" s="15">
        <v>283</v>
      </c>
      <c r="K65" s="6">
        <v>1</v>
      </c>
      <c r="L65" s="6"/>
      <c r="M65" s="6" t="s">
        <v>30</v>
      </c>
      <c r="N65" s="6">
        <v>186</v>
      </c>
      <c r="O65" s="6" t="s">
        <v>475</v>
      </c>
      <c r="P65" s="7">
        <v>45248</v>
      </c>
      <c r="Q65" s="6" t="s">
        <v>297</v>
      </c>
      <c r="S65" s="14" t="str">
        <f ca="1">IFERROR(__xludf.DUMMYFUNCTION("""COMPUTED_VALUE"""),"アスモデウス")</f>
        <v>アスモデウス</v>
      </c>
      <c r="T65" s="14" t="str">
        <f ca="1"/>
        <v>女性</v>
      </c>
      <c r="U65" s="14">
        <f ca="1"/>
        <v>186</v>
      </c>
      <c r="V65" s="14" t="str">
        <f ca="1"/>
        <v>不明</v>
      </c>
      <c r="W65" s="8">
        <f ca="1"/>
        <v>45248</v>
      </c>
      <c r="X65" s="14" t="str">
        <f ca="1"/>
        <v>？</v>
      </c>
      <c r="Z65" s="14" t="str">
        <v>火</v>
      </c>
    </row>
    <row r="66" spans="1:26" ht="15.75" customHeight="1" x14ac:dyDescent="0.25">
      <c r="A66" s="4" t="s">
        <v>126</v>
      </c>
      <c r="B66" s="10" t="s">
        <v>127</v>
      </c>
      <c r="C66" s="6" t="s">
        <v>20</v>
      </c>
      <c r="D66" s="6" t="s">
        <v>32</v>
      </c>
      <c r="E66" s="6" t="s">
        <v>29</v>
      </c>
      <c r="F66" s="6">
        <v>4</v>
      </c>
      <c r="G66" s="15">
        <v>7733</v>
      </c>
      <c r="H66" s="15">
        <v>1324</v>
      </c>
      <c r="I66" s="15">
        <v>532</v>
      </c>
      <c r="J66" s="15">
        <v>269</v>
      </c>
      <c r="K66" s="6">
        <v>1</v>
      </c>
      <c r="L66" s="6"/>
      <c r="M66" s="6" t="s">
        <v>17</v>
      </c>
      <c r="N66" s="6">
        <v>178</v>
      </c>
      <c r="O66" s="6">
        <v>22</v>
      </c>
      <c r="P66" s="7">
        <v>45267</v>
      </c>
      <c r="Q66" s="6" t="s">
        <v>489</v>
      </c>
      <c r="S66" s="14" t="str">
        <f ca="1">IFERROR(__xludf.DUMMYFUNCTION("""COMPUTED_VALUE"""),"ガープ")</f>
        <v>ガープ</v>
      </c>
      <c r="T66" s="14" t="str">
        <f ca="1"/>
        <v>男性</v>
      </c>
      <c r="U66" s="14">
        <f ca="1"/>
        <v>178</v>
      </c>
      <c r="V66" s="14">
        <f ca="1"/>
        <v>22</v>
      </c>
      <c r="W66" s="8">
        <f ca="1"/>
        <v>45267</v>
      </c>
      <c r="X66" s="14" t="str">
        <f ca="1"/>
        <v>セクトル</v>
      </c>
      <c r="Z66" s="14" t="str">
        <v>火</v>
      </c>
    </row>
    <row r="67" spans="1:26" ht="15.75" customHeight="1" x14ac:dyDescent="0.25">
      <c r="A67" s="4" t="s">
        <v>126</v>
      </c>
      <c r="B67" s="9" t="s">
        <v>128</v>
      </c>
      <c r="C67" s="6" t="s">
        <v>14</v>
      </c>
      <c r="D67" s="6" t="s">
        <v>21</v>
      </c>
      <c r="E67" s="6" t="s">
        <v>29</v>
      </c>
      <c r="F67" s="6">
        <v>3</v>
      </c>
      <c r="G67" s="15">
        <v>10133</v>
      </c>
      <c r="H67" s="15">
        <v>854</v>
      </c>
      <c r="I67" s="15">
        <v>642</v>
      </c>
      <c r="J67" s="15">
        <v>279</v>
      </c>
      <c r="K67" s="6">
        <v>1</v>
      </c>
      <c r="L67" s="6"/>
      <c r="M67" s="6" t="s">
        <v>17</v>
      </c>
      <c r="N67" s="6">
        <v>178</v>
      </c>
      <c r="O67" s="6">
        <v>22</v>
      </c>
      <c r="P67" s="7">
        <v>45267</v>
      </c>
      <c r="Q67" s="6" t="s">
        <v>489</v>
      </c>
      <c r="S67" s="14" t="str">
        <f ca="1">IFERROR(__xludf.DUMMYFUNCTION("""COMPUTED_VALUE"""),"ガープ")</f>
        <v>ガープ</v>
      </c>
      <c r="T67" s="14" t="str">
        <f ca="1"/>
        <v>男性</v>
      </c>
      <c r="U67" s="14">
        <f ca="1"/>
        <v>178</v>
      </c>
      <c r="V67" s="14">
        <f ca="1"/>
        <v>22</v>
      </c>
      <c r="W67" s="8">
        <f ca="1"/>
        <v>45267</v>
      </c>
      <c r="X67" s="14" t="str">
        <f ca="1"/>
        <v>セクトル</v>
      </c>
      <c r="Z67" s="14" t="str">
        <v>火</v>
      </c>
    </row>
    <row r="68" spans="1:26" ht="15.75" customHeight="1" x14ac:dyDescent="0.25">
      <c r="A68" s="4" t="s">
        <v>129</v>
      </c>
      <c r="B68" s="9" t="s">
        <v>130</v>
      </c>
      <c r="C68" s="6" t="s">
        <v>20</v>
      </c>
      <c r="D68" s="6" t="s">
        <v>21</v>
      </c>
      <c r="E68" s="6" t="s">
        <v>16</v>
      </c>
      <c r="F68" s="6">
        <v>4</v>
      </c>
      <c r="G68" s="15">
        <v>8517</v>
      </c>
      <c r="H68" s="15">
        <v>1089</v>
      </c>
      <c r="I68" s="15">
        <v>524</v>
      </c>
      <c r="J68" s="15">
        <v>308</v>
      </c>
      <c r="K68" s="6">
        <v>1</v>
      </c>
      <c r="L68" s="6"/>
      <c r="M68" s="6" t="s">
        <v>30</v>
      </c>
      <c r="N68" s="6">
        <v>152</v>
      </c>
      <c r="O68" s="6" t="s">
        <v>475</v>
      </c>
      <c r="P68" s="7">
        <v>44966</v>
      </c>
      <c r="Q68" s="6" t="s">
        <v>297</v>
      </c>
      <c r="S68" s="14" t="str">
        <f ca="1">IFERROR(__xludf.DUMMYFUNCTION("""COMPUTED_VALUE"""),"フルフル")</f>
        <v>フルフル</v>
      </c>
      <c r="T68" s="14" t="str">
        <f ca="1"/>
        <v>女性</v>
      </c>
      <c r="U68" s="14">
        <f ca="1"/>
        <v>152</v>
      </c>
      <c r="V68" s="14" t="str">
        <f ca="1"/>
        <v>不明</v>
      </c>
      <c r="W68" s="8">
        <f ca="1"/>
        <v>44966</v>
      </c>
      <c r="X68" s="14" t="str">
        <f ca="1"/>
        <v>？</v>
      </c>
      <c r="Z68" s="14" t="str">
        <v>雷</v>
      </c>
    </row>
    <row r="69" spans="1:26" ht="15.75" customHeight="1" x14ac:dyDescent="0.25">
      <c r="A69" s="4" t="s">
        <v>129</v>
      </c>
      <c r="B69" s="5" t="s">
        <v>131</v>
      </c>
      <c r="C69" s="6" t="s">
        <v>20</v>
      </c>
      <c r="D69" s="6" t="s">
        <v>15</v>
      </c>
      <c r="E69" s="6" t="s">
        <v>16</v>
      </c>
      <c r="F69" s="6">
        <v>6</v>
      </c>
      <c r="G69" s="15">
        <v>8688</v>
      </c>
      <c r="H69" s="15">
        <v>1178</v>
      </c>
      <c r="I69" s="15">
        <v>487</v>
      </c>
      <c r="J69" s="15">
        <v>285</v>
      </c>
      <c r="K69" s="6">
        <v>1</v>
      </c>
      <c r="L69" s="6"/>
      <c r="M69" s="6" t="s">
        <v>30</v>
      </c>
      <c r="N69" s="6">
        <v>152</v>
      </c>
      <c r="O69" s="6" t="s">
        <v>475</v>
      </c>
      <c r="P69" s="7">
        <v>44966</v>
      </c>
      <c r="Q69" s="6" t="s">
        <v>297</v>
      </c>
      <c r="S69" s="14" t="str">
        <f ca="1">IFERROR(__xludf.DUMMYFUNCTION("""COMPUTED_VALUE"""),"フルフル")</f>
        <v>フルフル</v>
      </c>
      <c r="T69" s="14" t="str">
        <f ca="1"/>
        <v>女性</v>
      </c>
      <c r="U69" s="14">
        <f ca="1"/>
        <v>152</v>
      </c>
      <c r="V69" s="14" t="str">
        <f ca="1"/>
        <v>不明</v>
      </c>
      <c r="W69" s="8">
        <f ca="1"/>
        <v>44966</v>
      </c>
      <c r="X69" s="14" t="str">
        <f ca="1"/>
        <v>？</v>
      </c>
      <c r="Z69" s="14" t="str">
        <v>雷</v>
      </c>
    </row>
    <row r="70" spans="1:26" ht="15.75" customHeight="1" x14ac:dyDescent="0.25">
      <c r="A70" s="4" t="s">
        <v>132</v>
      </c>
      <c r="B70" s="5" t="s">
        <v>133</v>
      </c>
      <c r="C70" s="6" t="s">
        <v>20</v>
      </c>
      <c r="D70" s="6" t="s">
        <v>15</v>
      </c>
      <c r="E70" s="6" t="s">
        <v>16</v>
      </c>
      <c r="F70" s="6">
        <v>5</v>
      </c>
      <c r="G70" s="15">
        <v>6761</v>
      </c>
      <c r="H70" s="15">
        <v>1338</v>
      </c>
      <c r="I70" s="15">
        <v>465</v>
      </c>
      <c r="J70" s="15">
        <v>462</v>
      </c>
      <c r="K70" s="6">
        <v>1</v>
      </c>
      <c r="L70" s="6"/>
      <c r="M70" s="6" t="s">
        <v>30</v>
      </c>
      <c r="N70" s="6">
        <v>160</v>
      </c>
      <c r="O70" s="6">
        <v>23</v>
      </c>
      <c r="P70" s="7">
        <v>45083</v>
      </c>
      <c r="Q70" s="6" t="s">
        <v>297</v>
      </c>
      <c r="S70" s="14" t="str">
        <f ca="1">IFERROR(__xludf.DUMMYFUNCTION("""COMPUTED_VALUE"""),"マルコシアス")</f>
        <v>マルコシアス</v>
      </c>
      <c r="T70" s="14" t="str">
        <f ca="1"/>
        <v>女性</v>
      </c>
      <c r="U70" s="14">
        <f ca="1"/>
        <v>160</v>
      </c>
      <c r="V70" s="14">
        <f ca="1"/>
        <v>23</v>
      </c>
      <c r="W70" s="8">
        <f ca="1"/>
        <v>45083</v>
      </c>
      <c r="X70" s="14" t="str">
        <f ca="1"/>
        <v>？</v>
      </c>
      <c r="Z70" s="14" t="str">
        <v>火</v>
      </c>
    </row>
    <row r="71" spans="1:26" ht="15.75" customHeight="1" x14ac:dyDescent="0.25">
      <c r="A71" s="4" t="s">
        <v>132</v>
      </c>
      <c r="B71" s="9" t="s">
        <v>134</v>
      </c>
      <c r="C71" s="6" t="s">
        <v>14</v>
      </c>
      <c r="D71" s="6" t="s">
        <v>21</v>
      </c>
      <c r="E71" s="6" t="s">
        <v>16</v>
      </c>
      <c r="F71" s="6">
        <v>4</v>
      </c>
      <c r="G71" s="15">
        <v>7701</v>
      </c>
      <c r="H71" s="15">
        <v>1152</v>
      </c>
      <c r="I71" s="15">
        <v>431</v>
      </c>
      <c r="J71" s="15">
        <v>473</v>
      </c>
      <c r="K71" s="6">
        <v>1</v>
      </c>
      <c r="L71" s="6"/>
      <c r="M71" s="6" t="s">
        <v>30</v>
      </c>
      <c r="N71" s="6">
        <v>160</v>
      </c>
      <c r="O71" s="6">
        <v>23</v>
      </c>
      <c r="P71" s="7">
        <v>45083</v>
      </c>
      <c r="Q71" s="6" t="s">
        <v>297</v>
      </c>
      <c r="S71" s="14" t="str">
        <f ca="1">IFERROR(__xludf.DUMMYFUNCTION("""COMPUTED_VALUE"""),"マルコシアス")</f>
        <v>マルコシアス</v>
      </c>
      <c r="T71" s="14" t="str">
        <f ca="1"/>
        <v>女性</v>
      </c>
      <c r="U71" s="14">
        <f ca="1"/>
        <v>160</v>
      </c>
      <c r="V71" s="14">
        <f ca="1"/>
        <v>23</v>
      </c>
      <c r="W71" s="8">
        <f ca="1"/>
        <v>45083</v>
      </c>
      <c r="X71" s="14" t="str">
        <f ca="1"/>
        <v>？</v>
      </c>
      <c r="Z71" s="14" t="str">
        <v>風</v>
      </c>
    </row>
    <row r="72" spans="1:26" ht="15.75" customHeight="1" x14ac:dyDescent="0.25">
      <c r="A72" s="4" t="s">
        <v>135</v>
      </c>
      <c r="B72" s="10" t="s">
        <v>136</v>
      </c>
      <c r="C72" s="6" t="s">
        <v>20</v>
      </c>
      <c r="D72" s="6" t="s">
        <v>32</v>
      </c>
      <c r="E72" s="6" t="s">
        <v>62</v>
      </c>
      <c r="F72" s="6">
        <v>4</v>
      </c>
      <c r="G72" s="15">
        <v>7952</v>
      </c>
      <c r="H72" s="15">
        <v>1081</v>
      </c>
      <c r="I72" s="15">
        <v>420</v>
      </c>
      <c r="J72" s="15">
        <v>479</v>
      </c>
      <c r="K72" s="6">
        <v>1</v>
      </c>
      <c r="L72" s="6"/>
      <c r="M72" s="6" t="s">
        <v>30</v>
      </c>
      <c r="N72" s="6">
        <v>166</v>
      </c>
      <c r="O72" s="6">
        <v>16</v>
      </c>
      <c r="P72" s="7">
        <v>45097</v>
      </c>
      <c r="Q72" s="6" t="s">
        <v>297</v>
      </c>
      <c r="S72" s="14" t="str">
        <f ca="1">IFERROR(__xludf.DUMMYFUNCTION("""COMPUTED_VALUE"""),"ストラス")</f>
        <v>ストラス</v>
      </c>
      <c r="T72" s="14" t="str">
        <f ca="1"/>
        <v>女性</v>
      </c>
      <c r="U72" s="14">
        <f ca="1"/>
        <v>166</v>
      </c>
      <c r="V72" s="14">
        <f ca="1"/>
        <v>16</v>
      </c>
      <c r="W72" s="8">
        <f ca="1"/>
        <v>45097</v>
      </c>
      <c r="X72" s="14" t="str">
        <f ca="1"/>
        <v>？</v>
      </c>
      <c r="Z72" s="14" t="str">
        <v>風</v>
      </c>
    </row>
    <row r="73" spans="1:26" ht="15.75" customHeight="1" x14ac:dyDescent="0.25">
      <c r="A73" s="4" t="s">
        <v>135</v>
      </c>
      <c r="B73" s="5" t="s">
        <v>137</v>
      </c>
      <c r="C73" s="6" t="s">
        <v>20</v>
      </c>
      <c r="D73" s="6" t="s">
        <v>15</v>
      </c>
      <c r="E73" s="6" t="s">
        <v>62</v>
      </c>
      <c r="F73" s="6">
        <v>5</v>
      </c>
      <c r="G73" s="15">
        <v>7407</v>
      </c>
      <c r="H73" s="15">
        <v>1167</v>
      </c>
      <c r="I73" s="15">
        <v>411</v>
      </c>
      <c r="J73" s="15">
        <v>488</v>
      </c>
      <c r="K73" s="6">
        <v>1</v>
      </c>
      <c r="L73" s="6"/>
      <c r="M73" s="6" t="s">
        <v>30</v>
      </c>
      <c r="N73" s="6">
        <v>166</v>
      </c>
      <c r="O73" s="6">
        <v>16</v>
      </c>
      <c r="P73" s="7">
        <v>45097</v>
      </c>
      <c r="Q73" s="6" t="s">
        <v>297</v>
      </c>
      <c r="S73" s="14" t="str">
        <f ca="1">IFERROR(__xludf.DUMMYFUNCTION("""COMPUTED_VALUE"""),"ストラス")</f>
        <v>ストラス</v>
      </c>
      <c r="T73" s="14" t="str">
        <f ca="1"/>
        <v>女性</v>
      </c>
      <c r="U73" s="14">
        <f ca="1"/>
        <v>166</v>
      </c>
      <c r="V73" s="14">
        <f ca="1"/>
        <v>16</v>
      </c>
      <c r="W73" s="8">
        <f ca="1"/>
        <v>45097</v>
      </c>
      <c r="X73" s="14" t="str">
        <f ca="1"/>
        <v>？</v>
      </c>
      <c r="Z73" s="14" t="str">
        <v>風</v>
      </c>
    </row>
    <row r="74" spans="1:26" ht="15.75" customHeight="1" x14ac:dyDescent="0.25">
      <c r="A74" s="4" t="s">
        <v>138</v>
      </c>
      <c r="B74" s="9" t="s">
        <v>139</v>
      </c>
      <c r="C74" s="6" t="s">
        <v>20</v>
      </c>
      <c r="D74" s="6" t="s">
        <v>21</v>
      </c>
      <c r="E74" s="6" t="s">
        <v>29</v>
      </c>
      <c r="F74" s="6">
        <v>5</v>
      </c>
      <c r="G74" s="15">
        <v>7571</v>
      </c>
      <c r="H74" s="15">
        <v>1144</v>
      </c>
      <c r="I74" s="15">
        <v>413</v>
      </c>
      <c r="J74" s="15">
        <v>600</v>
      </c>
      <c r="K74" s="6">
        <v>1</v>
      </c>
      <c r="L74" s="6"/>
      <c r="M74" s="6" t="s">
        <v>17</v>
      </c>
      <c r="N74" s="6">
        <v>174</v>
      </c>
      <c r="O74" s="6">
        <v>18</v>
      </c>
      <c r="P74" s="7">
        <v>45241</v>
      </c>
      <c r="Q74" s="6" t="s">
        <v>490</v>
      </c>
      <c r="S74" s="14" t="str">
        <f ca="1">IFERROR(__xludf.DUMMYFUNCTION("""COMPUTED_VALUE"""),"フェニックス")</f>
        <v>フェニックス</v>
      </c>
      <c r="T74" s="14" t="str">
        <f ca="1"/>
        <v>男性</v>
      </c>
      <c r="U74" s="14">
        <f ca="1"/>
        <v>174</v>
      </c>
      <c r="V74" s="14">
        <f ca="1"/>
        <v>18</v>
      </c>
      <c r="W74" s="8">
        <f ca="1"/>
        <v>45241</v>
      </c>
      <c r="X74" s="14" t="str">
        <f ca="1"/>
        <v>ルイゼット</v>
      </c>
      <c r="Z74" s="14" t="str">
        <v>火</v>
      </c>
    </row>
    <row r="75" spans="1:26" ht="15.75" customHeight="1" x14ac:dyDescent="0.25">
      <c r="A75" s="4" t="s">
        <v>138</v>
      </c>
      <c r="B75" s="5" t="s">
        <v>140</v>
      </c>
      <c r="C75" s="6" t="s">
        <v>20</v>
      </c>
      <c r="D75" s="6" t="s">
        <v>15</v>
      </c>
      <c r="E75" s="6" t="s">
        <v>29</v>
      </c>
      <c r="F75" s="6">
        <v>6</v>
      </c>
      <c r="G75" s="15">
        <v>7259</v>
      </c>
      <c r="H75" s="15">
        <v>967</v>
      </c>
      <c r="I75" s="15">
        <v>472</v>
      </c>
      <c r="J75" s="15">
        <v>490</v>
      </c>
      <c r="K75" s="6">
        <v>1</v>
      </c>
      <c r="L75" s="6"/>
      <c r="M75" s="6" t="s">
        <v>17</v>
      </c>
      <c r="N75" s="6">
        <v>174</v>
      </c>
      <c r="O75" s="6">
        <v>18</v>
      </c>
      <c r="P75" s="7">
        <v>45241</v>
      </c>
      <c r="Q75" s="6" t="s">
        <v>490</v>
      </c>
      <c r="S75" s="14" t="str">
        <f ca="1">IFERROR(__xludf.DUMMYFUNCTION("""COMPUTED_VALUE"""),"フェニックス")</f>
        <v>フェニックス</v>
      </c>
      <c r="T75" s="14" t="str">
        <f ca="1"/>
        <v>男性</v>
      </c>
      <c r="U75" s="14">
        <f ca="1"/>
        <v>174</v>
      </c>
      <c r="V75" s="14">
        <f ca="1"/>
        <v>18</v>
      </c>
      <c r="W75" s="8">
        <f ca="1"/>
        <v>45241</v>
      </c>
      <c r="X75" s="14" t="str">
        <f ca="1"/>
        <v>ルイゼット</v>
      </c>
      <c r="Z75" s="14" t="str">
        <v>火</v>
      </c>
    </row>
    <row r="76" spans="1:26" ht="15.75" customHeight="1" x14ac:dyDescent="0.25">
      <c r="A76" s="4" t="s">
        <v>141</v>
      </c>
      <c r="B76" s="10" t="s">
        <v>142</v>
      </c>
      <c r="C76" s="6" t="s">
        <v>20</v>
      </c>
      <c r="D76" s="6" t="s">
        <v>32</v>
      </c>
      <c r="E76" s="6" t="s">
        <v>29</v>
      </c>
      <c r="F76" s="6">
        <v>3</v>
      </c>
      <c r="G76" s="15">
        <v>8836</v>
      </c>
      <c r="H76" s="15">
        <v>953</v>
      </c>
      <c r="I76" s="15">
        <v>612</v>
      </c>
      <c r="J76" s="15">
        <v>381</v>
      </c>
      <c r="K76" s="6">
        <v>2</v>
      </c>
      <c r="L76" s="6"/>
      <c r="M76" s="6" t="s">
        <v>30</v>
      </c>
      <c r="N76" s="6">
        <v>144</v>
      </c>
      <c r="O76" s="6">
        <v>15</v>
      </c>
      <c r="P76" s="7">
        <v>45064</v>
      </c>
      <c r="Q76" s="6" t="s">
        <v>491</v>
      </c>
      <c r="S76" s="14" t="str">
        <f ca="1">IFERROR(__xludf.DUMMYFUNCTION("""COMPUTED_VALUE"""),"ハルファス")</f>
        <v>ハルファス</v>
      </c>
      <c r="T76" s="14" t="str">
        <f ca="1"/>
        <v>女性</v>
      </c>
      <c r="U76" s="14">
        <f ca="1"/>
        <v>144</v>
      </c>
      <c r="V76" s="14">
        <f ca="1"/>
        <v>15</v>
      </c>
      <c r="W76" s="8">
        <f ca="1"/>
        <v>45064</v>
      </c>
      <c r="X76" s="14" t="str">
        <f ca="1"/>
        <v>アリン</v>
      </c>
      <c r="Z76" s="14" t="str">
        <v>地</v>
      </c>
    </row>
    <row r="77" spans="1:26" ht="15.75" customHeight="1" x14ac:dyDescent="0.25">
      <c r="A77" s="4" t="s">
        <v>141</v>
      </c>
      <c r="B77" s="5" t="s">
        <v>143</v>
      </c>
      <c r="C77" s="6" t="s">
        <v>20</v>
      </c>
      <c r="D77" s="6" t="s">
        <v>15</v>
      </c>
      <c r="E77" s="6" t="s">
        <v>29</v>
      </c>
      <c r="F77" s="6">
        <v>5</v>
      </c>
      <c r="G77" s="15">
        <v>6022</v>
      </c>
      <c r="H77" s="15">
        <v>1400</v>
      </c>
      <c r="I77" s="15">
        <v>643</v>
      </c>
      <c r="J77" s="15">
        <v>269</v>
      </c>
      <c r="K77" s="6">
        <v>1</v>
      </c>
      <c r="L77" s="6"/>
      <c r="M77" s="6" t="s">
        <v>30</v>
      </c>
      <c r="N77" s="6">
        <v>144</v>
      </c>
      <c r="O77" s="6">
        <v>15</v>
      </c>
      <c r="P77" s="7">
        <v>45064</v>
      </c>
      <c r="Q77" s="6" t="s">
        <v>491</v>
      </c>
      <c r="S77" s="14" t="str">
        <f ca="1">IFERROR(__xludf.DUMMYFUNCTION("""COMPUTED_VALUE"""),"ハルファス")</f>
        <v>ハルファス</v>
      </c>
      <c r="T77" s="14" t="str">
        <f ca="1"/>
        <v>女性</v>
      </c>
      <c r="U77" s="14">
        <f ca="1"/>
        <v>144</v>
      </c>
      <c r="V77" s="14">
        <f ca="1"/>
        <v>15</v>
      </c>
      <c r="W77" s="8">
        <f ca="1"/>
        <v>45064</v>
      </c>
      <c r="X77" s="14" t="str">
        <f ca="1"/>
        <v>アリン</v>
      </c>
      <c r="Z77" s="14" t="str">
        <v>地</v>
      </c>
    </row>
    <row r="78" spans="1:26" ht="15.75" customHeight="1" x14ac:dyDescent="0.25">
      <c r="A78" s="4" t="s">
        <v>144</v>
      </c>
      <c r="B78" s="5" t="s">
        <v>145</v>
      </c>
      <c r="C78" s="6" t="s">
        <v>20</v>
      </c>
      <c r="D78" s="6" t="s">
        <v>15</v>
      </c>
      <c r="E78" s="6" t="s">
        <v>62</v>
      </c>
      <c r="F78" s="6">
        <v>4</v>
      </c>
      <c r="G78" s="15">
        <v>7010</v>
      </c>
      <c r="H78" s="15">
        <v>1154</v>
      </c>
      <c r="I78" s="15">
        <v>419</v>
      </c>
      <c r="J78" s="15">
        <v>527</v>
      </c>
      <c r="K78" s="6">
        <v>1</v>
      </c>
      <c r="L78" s="6" t="s">
        <v>146</v>
      </c>
      <c r="M78" s="6" t="s">
        <v>17</v>
      </c>
      <c r="N78" s="6">
        <v>163</v>
      </c>
      <c r="O78" s="6">
        <v>17</v>
      </c>
      <c r="P78" s="7">
        <v>44991</v>
      </c>
      <c r="Q78" s="6" t="s">
        <v>297</v>
      </c>
      <c r="S78" s="14" t="str">
        <f ca="1">IFERROR(__xludf.DUMMYFUNCTION("""COMPUTED_VALUE"""),"マルファス")</f>
        <v>マルファス</v>
      </c>
      <c r="T78" s="14" t="str">
        <f ca="1"/>
        <v>男性</v>
      </c>
      <c r="U78" s="14">
        <f ca="1"/>
        <v>163</v>
      </c>
      <c r="V78" s="14">
        <f ca="1"/>
        <v>17</v>
      </c>
      <c r="W78" s="8">
        <f ca="1"/>
        <v>44991</v>
      </c>
      <c r="X78" s="14" t="str">
        <f ca="1"/>
        <v>？</v>
      </c>
      <c r="Z78" s="14" t="str">
        <v>風</v>
      </c>
    </row>
    <row r="79" spans="1:26" ht="15.75" customHeight="1" x14ac:dyDescent="0.25">
      <c r="A79" s="4" t="s">
        <v>144</v>
      </c>
      <c r="B79" s="9" t="s">
        <v>147</v>
      </c>
      <c r="C79" s="6" t="s">
        <v>20</v>
      </c>
      <c r="D79" s="6" t="s">
        <v>21</v>
      </c>
      <c r="E79" s="6" t="s">
        <v>62</v>
      </c>
      <c r="F79" s="6">
        <v>4</v>
      </c>
      <c r="G79" s="15">
        <v>7461</v>
      </c>
      <c r="H79" s="15">
        <v>981</v>
      </c>
      <c r="I79" s="15">
        <v>504</v>
      </c>
      <c r="J79" s="15">
        <v>499</v>
      </c>
      <c r="K79" s="6">
        <v>1</v>
      </c>
      <c r="L79" s="6" t="s">
        <v>146</v>
      </c>
      <c r="M79" s="6" t="s">
        <v>17</v>
      </c>
      <c r="N79" s="6">
        <v>163</v>
      </c>
      <c r="O79" s="6">
        <v>17</v>
      </c>
      <c r="P79" s="7">
        <v>44991</v>
      </c>
      <c r="Q79" s="6" t="s">
        <v>297</v>
      </c>
      <c r="S79" s="14" t="str">
        <f ca="1">IFERROR(__xludf.DUMMYFUNCTION("""COMPUTED_VALUE"""),"マルファス")</f>
        <v>マルファス</v>
      </c>
      <c r="T79" s="14" t="str">
        <f ca="1"/>
        <v>男性</v>
      </c>
      <c r="U79" s="14">
        <f ca="1"/>
        <v>163</v>
      </c>
      <c r="V79" s="14">
        <f ca="1"/>
        <v>17</v>
      </c>
      <c r="W79" s="8">
        <f ca="1"/>
        <v>44991</v>
      </c>
      <c r="X79" s="14" t="str">
        <f ca="1"/>
        <v>？</v>
      </c>
      <c r="Z79" s="14" t="str">
        <v>風</v>
      </c>
    </row>
    <row r="80" spans="1:26" ht="15.75" customHeight="1" x14ac:dyDescent="0.25">
      <c r="A80" s="4" t="s">
        <v>148</v>
      </c>
      <c r="B80" s="9" t="s">
        <v>149</v>
      </c>
      <c r="C80" s="6" t="s">
        <v>20</v>
      </c>
      <c r="D80" s="6" t="s">
        <v>21</v>
      </c>
      <c r="E80" s="6" t="s">
        <v>62</v>
      </c>
      <c r="F80" s="6">
        <v>3</v>
      </c>
      <c r="G80" s="15">
        <v>9069</v>
      </c>
      <c r="H80" s="15">
        <v>955</v>
      </c>
      <c r="I80" s="15">
        <v>618</v>
      </c>
      <c r="J80" s="15">
        <v>282</v>
      </c>
      <c r="K80" s="6">
        <v>1</v>
      </c>
      <c r="L80" s="6"/>
      <c r="M80" s="6" t="s">
        <v>17</v>
      </c>
      <c r="N80" s="6">
        <v>190</v>
      </c>
      <c r="O80" s="6">
        <v>18</v>
      </c>
      <c r="P80" s="7">
        <v>45070</v>
      </c>
      <c r="Q80" s="6" t="s">
        <v>492</v>
      </c>
      <c r="S80" s="14" t="str">
        <f ca="1">IFERROR(__xludf.DUMMYFUNCTION("""COMPUTED_VALUE"""),"ラウム")</f>
        <v>ラウム</v>
      </c>
      <c r="T80" s="14" t="str">
        <f ca="1"/>
        <v>男性</v>
      </c>
      <c r="U80" s="14">
        <f ca="1"/>
        <v>190</v>
      </c>
      <c r="V80" s="14">
        <f ca="1"/>
        <v>18</v>
      </c>
      <c r="W80" s="8">
        <f ca="1"/>
        <v>45070</v>
      </c>
      <c r="X80" s="14" t="str">
        <f ca="1"/>
        <v>アルフォンソ</v>
      </c>
      <c r="Z80" s="14" t="str">
        <v>雷</v>
      </c>
    </row>
    <row r="81" spans="1:26" ht="15.75" customHeight="1" x14ac:dyDescent="0.25">
      <c r="A81" s="4" t="s">
        <v>148</v>
      </c>
      <c r="B81" s="5" t="s">
        <v>150</v>
      </c>
      <c r="C81" s="6" t="s">
        <v>20</v>
      </c>
      <c r="D81" s="6" t="s">
        <v>15</v>
      </c>
      <c r="E81" s="6" t="s">
        <v>62</v>
      </c>
      <c r="F81" s="6">
        <v>5</v>
      </c>
      <c r="G81" s="15">
        <v>10094</v>
      </c>
      <c r="H81" s="15">
        <v>1155</v>
      </c>
      <c r="I81" s="15">
        <v>418</v>
      </c>
      <c r="J81" s="15">
        <v>277</v>
      </c>
      <c r="K81" s="6">
        <v>1</v>
      </c>
      <c r="L81" s="6"/>
      <c r="M81" s="6" t="s">
        <v>17</v>
      </c>
      <c r="N81" s="6">
        <v>190</v>
      </c>
      <c r="O81" s="6">
        <v>18</v>
      </c>
      <c r="P81" s="7">
        <v>45070</v>
      </c>
      <c r="Q81" s="6" t="s">
        <v>492</v>
      </c>
      <c r="S81" s="14" t="str">
        <f ca="1">IFERROR(__xludf.DUMMYFUNCTION("""COMPUTED_VALUE"""),"ラウム")</f>
        <v>ラウム</v>
      </c>
      <c r="T81" s="14" t="str">
        <f ca="1"/>
        <v>男性</v>
      </c>
      <c r="U81" s="14">
        <f ca="1"/>
        <v>190</v>
      </c>
      <c r="V81" s="14">
        <f ca="1"/>
        <v>18</v>
      </c>
      <c r="W81" s="8">
        <f ca="1"/>
        <v>45070</v>
      </c>
      <c r="X81" s="14" t="str">
        <f ca="1"/>
        <v>アルフォンソ</v>
      </c>
      <c r="Z81" s="14" t="str">
        <v>雷</v>
      </c>
    </row>
    <row r="82" spans="1:26" ht="15.75" customHeight="1" x14ac:dyDescent="0.25">
      <c r="A82" s="4" t="s">
        <v>151</v>
      </c>
      <c r="B82" s="10" t="s">
        <v>152</v>
      </c>
      <c r="C82" s="6" t="s">
        <v>20</v>
      </c>
      <c r="D82" s="6" t="s">
        <v>32</v>
      </c>
      <c r="E82" s="6" t="s">
        <v>62</v>
      </c>
      <c r="F82" s="6">
        <v>2</v>
      </c>
      <c r="G82" s="15">
        <v>7219</v>
      </c>
      <c r="H82" s="15">
        <v>728</v>
      </c>
      <c r="I82" s="15">
        <v>507</v>
      </c>
      <c r="J82" s="15">
        <v>626</v>
      </c>
      <c r="K82" s="6">
        <v>1</v>
      </c>
      <c r="L82" s="6"/>
      <c r="M82" s="6" t="s">
        <v>17</v>
      </c>
      <c r="N82" s="6">
        <v>183</v>
      </c>
      <c r="O82" s="6">
        <v>24</v>
      </c>
      <c r="P82" s="7">
        <v>45118</v>
      </c>
      <c r="Q82" s="6" t="s">
        <v>297</v>
      </c>
      <c r="S82" s="14" t="str">
        <f ca="1">IFERROR(__xludf.DUMMYFUNCTION("""COMPUTED_VALUE"""),"フォカロル")</f>
        <v>フォカロル</v>
      </c>
      <c r="T82" s="14" t="str">
        <f ca="1"/>
        <v>男性</v>
      </c>
      <c r="U82" s="14">
        <f ca="1"/>
        <v>183</v>
      </c>
      <c r="V82" s="14">
        <f ca="1"/>
        <v>24</v>
      </c>
      <c r="W82" s="8">
        <f ca="1"/>
        <v>45118</v>
      </c>
      <c r="X82" s="14" t="str">
        <f ca="1"/>
        <v>？</v>
      </c>
      <c r="Z82" s="14" t="str">
        <v>風</v>
      </c>
    </row>
    <row r="83" spans="1:26" ht="15.75" customHeight="1" x14ac:dyDescent="0.25">
      <c r="A83" s="4" t="s">
        <v>151</v>
      </c>
      <c r="B83" s="5" t="s">
        <v>153</v>
      </c>
      <c r="C83" s="6" t="s">
        <v>20</v>
      </c>
      <c r="D83" s="6" t="s">
        <v>15</v>
      </c>
      <c r="E83" s="6" t="s">
        <v>62</v>
      </c>
      <c r="F83" s="6">
        <v>5</v>
      </c>
      <c r="G83" s="15">
        <v>7601</v>
      </c>
      <c r="H83" s="15">
        <v>993</v>
      </c>
      <c r="I83" s="15">
        <v>504</v>
      </c>
      <c r="J83" s="15">
        <v>487</v>
      </c>
      <c r="K83" s="6">
        <v>1</v>
      </c>
      <c r="L83" s="6"/>
      <c r="M83" s="6" t="s">
        <v>17</v>
      </c>
      <c r="N83" s="6">
        <v>183</v>
      </c>
      <c r="O83" s="6">
        <v>24</v>
      </c>
      <c r="P83" s="7">
        <v>45118</v>
      </c>
      <c r="Q83" s="6" t="s">
        <v>297</v>
      </c>
      <c r="S83" s="14" t="str">
        <f ca="1">IFERROR(__xludf.DUMMYFUNCTION("""COMPUTED_VALUE"""),"フォカロル")</f>
        <v>フォカロル</v>
      </c>
      <c r="T83" s="14" t="str">
        <f ca="1"/>
        <v>男性</v>
      </c>
      <c r="U83" s="14">
        <f ca="1"/>
        <v>183</v>
      </c>
      <c r="V83" s="14">
        <f ca="1"/>
        <v>24</v>
      </c>
      <c r="W83" s="8">
        <f ca="1"/>
        <v>45118</v>
      </c>
      <c r="X83" s="14" t="str">
        <f ca="1"/>
        <v>？</v>
      </c>
      <c r="Z83" s="14" t="str">
        <v>風</v>
      </c>
    </row>
    <row r="84" spans="1:26" ht="15.75" customHeight="1" x14ac:dyDescent="0.25">
      <c r="A84" s="4" t="s">
        <v>154</v>
      </c>
      <c r="B84" s="5" t="s">
        <v>155</v>
      </c>
      <c r="C84" s="6" t="s">
        <v>14</v>
      </c>
      <c r="D84" s="6" t="s">
        <v>15</v>
      </c>
      <c r="E84" s="6" t="s">
        <v>62</v>
      </c>
      <c r="F84" s="6">
        <v>4</v>
      </c>
      <c r="G84" s="15">
        <v>8606</v>
      </c>
      <c r="H84" s="15">
        <v>639</v>
      </c>
      <c r="I84" s="15">
        <v>646</v>
      </c>
      <c r="J84" s="15">
        <v>493</v>
      </c>
      <c r="K84" s="6">
        <v>1</v>
      </c>
      <c r="L84" s="6"/>
      <c r="M84" s="6" t="s">
        <v>30</v>
      </c>
      <c r="N84" s="6">
        <v>153</v>
      </c>
      <c r="O84" s="6">
        <v>17</v>
      </c>
      <c r="P84" s="7">
        <v>45018</v>
      </c>
      <c r="Q84" s="6" t="s">
        <v>493</v>
      </c>
      <c r="S84" s="14" t="str">
        <f ca="1">IFERROR(__xludf.DUMMYFUNCTION("""COMPUTED_VALUE"""),"ウェパル")</f>
        <v>ウェパル</v>
      </c>
      <c r="T84" s="14" t="str">
        <f ca="1"/>
        <v>女性</v>
      </c>
      <c r="U84" s="14">
        <f ca="1"/>
        <v>153</v>
      </c>
      <c r="V84" s="14">
        <f ca="1"/>
        <v>17</v>
      </c>
      <c r="W84" s="8">
        <f ca="1"/>
        <v>45018</v>
      </c>
      <c r="X84" s="14" t="str">
        <f ca="1"/>
        <v>マナイ</v>
      </c>
      <c r="Z84" s="14" t="str">
        <v>水</v>
      </c>
    </row>
    <row r="85" spans="1:26" ht="15.75" customHeight="1" x14ac:dyDescent="0.25">
      <c r="A85" s="4" t="s">
        <v>154</v>
      </c>
      <c r="B85" s="10" t="s">
        <v>156</v>
      </c>
      <c r="C85" s="6" t="s">
        <v>14</v>
      </c>
      <c r="D85" s="6" t="s">
        <v>32</v>
      </c>
      <c r="E85" s="6" t="s">
        <v>62</v>
      </c>
      <c r="F85" s="6">
        <v>2</v>
      </c>
      <c r="G85" s="15">
        <v>5646</v>
      </c>
      <c r="H85" s="15">
        <v>1188</v>
      </c>
      <c r="I85" s="15">
        <v>287</v>
      </c>
      <c r="J85" s="15">
        <v>699</v>
      </c>
      <c r="K85" s="6">
        <v>1</v>
      </c>
      <c r="L85" s="6"/>
      <c r="M85" s="6" t="s">
        <v>30</v>
      </c>
      <c r="N85" s="6">
        <v>153</v>
      </c>
      <c r="O85" s="6">
        <v>17</v>
      </c>
      <c r="P85" s="7">
        <v>45018</v>
      </c>
      <c r="Q85" s="6" t="s">
        <v>493</v>
      </c>
      <c r="S85" s="14" t="str">
        <f ca="1">IFERROR(__xludf.DUMMYFUNCTION("""COMPUTED_VALUE"""),"ウェパル")</f>
        <v>ウェパル</v>
      </c>
      <c r="T85" s="14" t="str">
        <f ca="1"/>
        <v>女性</v>
      </c>
      <c r="U85" s="14">
        <f ca="1"/>
        <v>153</v>
      </c>
      <c r="V85" s="14">
        <f ca="1"/>
        <v>17</v>
      </c>
      <c r="W85" s="8">
        <f ca="1"/>
        <v>45018</v>
      </c>
      <c r="X85" s="14" t="str">
        <f ca="1"/>
        <v>マナイ</v>
      </c>
      <c r="Z85" s="14" t="str">
        <v>水</v>
      </c>
    </row>
    <row r="86" spans="1:26" ht="15.75" customHeight="1" x14ac:dyDescent="0.25">
      <c r="A86" s="4" t="s">
        <v>157</v>
      </c>
      <c r="B86" s="5" t="s">
        <v>158</v>
      </c>
      <c r="C86" s="6" t="s">
        <v>24</v>
      </c>
      <c r="D86" s="6" t="s">
        <v>15</v>
      </c>
      <c r="E86" s="6" t="s">
        <v>29</v>
      </c>
      <c r="F86" s="6">
        <v>4</v>
      </c>
      <c r="G86" s="15">
        <v>8782</v>
      </c>
      <c r="H86" s="15">
        <v>740</v>
      </c>
      <c r="I86" s="15">
        <v>700</v>
      </c>
      <c r="J86" s="15">
        <v>300</v>
      </c>
      <c r="K86" s="6">
        <v>1</v>
      </c>
      <c r="L86" s="6"/>
      <c r="M86" s="6" t="s">
        <v>17</v>
      </c>
      <c r="N86" s="6">
        <v>131</v>
      </c>
      <c r="O86" s="6">
        <v>19</v>
      </c>
      <c r="P86" s="7">
        <v>45143</v>
      </c>
      <c r="Q86" s="6" t="s">
        <v>494</v>
      </c>
      <c r="S86" s="14" t="str">
        <f ca="1">IFERROR(__xludf.DUMMYFUNCTION("""COMPUTED_VALUE"""),"サブナック")</f>
        <v>サブナック</v>
      </c>
      <c r="T86" s="14" t="str">
        <f ca="1"/>
        <v>男性</v>
      </c>
      <c r="U86" s="14">
        <f ca="1"/>
        <v>131</v>
      </c>
      <c r="V86" s="14">
        <f ca="1"/>
        <v>19</v>
      </c>
      <c r="W86" s="8">
        <f ca="1"/>
        <v>45143</v>
      </c>
      <c r="X86" s="14" t="str">
        <f ca="1"/>
        <v>アーサー</v>
      </c>
      <c r="Z86" s="14" t="str">
        <v>地</v>
      </c>
    </row>
    <row r="87" spans="1:26" ht="15.75" customHeight="1" x14ac:dyDescent="0.25">
      <c r="A87" s="4" t="s">
        <v>157</v>
      </c>
      <c r="B87" s="9" t="s">
        <v>159</v>
      </c>
      <c r="C87" s="6" t="s">
        <v>20</v>
      </c>
      <c r="D87" s="6" t="s">
        <v>21</v>
      </c>
      <c r="E87" s="6" t="s">
        <v>29</v>
      </c>
      <c r="F87" s="6">
        <v>4</v>
      </c>
      <c r="G87" s="15">
        <v>8573</v>
      </c>
      <c r="H87" s="15">
        <v>751</v>
      </c>
      <c r="I87" s="15">
        <v>682</v>
      </c>
      <c r="J87" s="15">
        <v>274</v>
      </c>
      <c r="K87" s="6">
        <v>1</v>
      </c>
      <c r="L87" s="6"/>
      <c r="M87" s="6" t="s">
        <v>17</v>
      </c>
      <c r="N87" s="6">
        <v>131</v>
      </c>
      <c r="O87" s="6">
        <v>19</v>
      </c>
      <c r="P87" s="7">
        <v>45143</v>
      </c>
      <c r="Q87" s="6" t="s">
        <v>494</v>
      </c>
      <c r="S87" s="14" t="str">
        <f ca="1">IFERROR(__xludf.DUMMYFUNCTION("""COMPUTED_VALUE"""),"サブナック")</f>
        <v>サブナック</v>
      </c>
      <c r="T87" s="14" t="str">
        <f ca="1"/>
        <v>男性</v>
      </c>
      <c r="U87" s="14">
        <f ca="1"/>
        <v>131</v>
      </c>
      <c r="V87" s="14">
        <f ca="1"/>
        <v>19</v>
      </c>
      <c r="W87" s="8">
        <f ca="1"/>
        <v>45143</v>
      </c>
      <c r="X87" s="14" t="str">
        <f ca="1"/>
        <v>アーサー</v>
      </c>
      <c r="Z87" s="14" t="str">
        <v>地</v>
      </c>
    </row>
    <row r="88" spans="1:26" ht="15.75" customHeight="1" x14ac:dyDescent="0.25">
      <c r="A88" s="4" t="s">
        <v>160</v>
      </c>
      <c r="B88" s="5" t="s">
        <v>161</v>
      </c>
      <c r="C88" s="6" t="s">
        <v>20</v>
      </c>
      <c r="D88" s="6" t="s">
        <v>15</v>
      </c>
      <c r="E88" s="6" t="s">
        <v>29</v>
      </c>
      <c r="F88" s="6">
        <v>4</v>
      </c>
      <c r="G88" s="15">
        <v>7327</v>
      </c>
      <c r="H88" s="15">
        <v>1157</v>
      </c>
      <c r="I88" s="15">
        <v>428</v>
      </c>
      <c r="J88" s="15">
        <v>478</v>
      </c>
      <c r="K88" s="6">
        <v>1</v>
      </c>
      <c r="L88" s="6"/>
      <c r="M88" s="6" t="s">
        <v>30</v>
      </c>
      <c r="N88" s="6">
        <v>158</v>
      </c>
      <c r="O88" s="6">
        <v>16</v>
      </c>
      <c r="P88" s="7">
        <v>45079</v>
      </c>
      <c r="Q88" s="6" t="s">
        <v>482</v>
      </c>
      <c r="S88" s="14" t="str">
        <f ca="1">IFERROR(__xludf.DUMMYFUNCTION("""COMPUTED_VALUE"""),"シャックス")</f>
        <v>シャックス</v>
      </c>
      <c r="T88" s="14" t="str">
        <f ca="1"/>
        <v>女性</v>
      </c>
      <c r="U88" s="14">
        <f ca="1"/>
        <v>158</v>
      </c>
      <c r="V88" s="14">
        <f ca="1"/>
        <v>16</v>
      </c>
      <c r="W88" s="8">
        <f ca="1"/>
        <v>45079</v>
      </c>
      <c r="X88" s="14" t="str">
        <f ca="1"/>
        <v>（忘却）</v>
      </c>
      <c r="Z88" s="14" t="str">
        <v>雷</v>
      </c>
    </row>
    <row r="89" spans="1:26" ht="15.75" customHeight="1" x14ac:dyDescent="0.25">
      <c r="A89" s="4" t="s">
        <v>160</v>
      </c>
      <c r="B89" s="9" t="s">
        <v>162</v>
      </c>
      <c r="C89" s="6" t="s">
        <v>14</v>
      </c>
      <c r="D89" s="6" t="s">
        <v>21</v>
      </c>
      <c r="E89" s="6" t="s">
        <v>29</v>
      </c>
      <c r="F89" s="6">
        <v>3</v>
      </c>
      <c r="G89" s="15">
        <v>7581</v>
      </c>
      <c r="H89" s="15">
        <v>954</v>
      </c>
      <c r="I89" s="15">
        <v>478</v>
      </c>
      <c r="J89" s="15">
        <v>501</v>
      </c>
      <c r="K89" s="6">
        <v>1</v>
      </c>
      <c r="L89" s="6"/>
      <c r="M89" s="6" t="s">
        <v>30</v>
      </c>
      <c r="N89" s="6">
        <v>158</v>
      </c>
      <c r="O89" s="6">
        <v>16</v>
      </c>
      <c r="P89" s="7">
        <v>45079</v>
      </c>
      <c r="Q89" s="6" t="s">
        <v>482</v>
      </c>
      <c r="S89" s="14" t="str">
        <f ca="1">IFERROR(__xludf.DUMMYFUNCTION("""COMPUTED_VALUE"""),"シャックス")</f>
        <v>シャックス</v>
      </c>
      <c r="T89" s="14" t="str">
        <f ca="1"/>
        <v>女性</v>
      </c>
      <c r="U89" s="14">
        <f ca="1"/>
        <v>158</v>
      </c>
      <c r="V89" s="14">
        <f ca="1"/>
        <v>16</v>
      </c>
      <c r="W89" s="8">
        <f ca="1"/>
        <v>45079</v>
      </c>
      <c r="X89" s="14" t="str">
        <f ca="1"/>
        <v>（忘却）</v>
      </c>
      <c r="Z89" s="14" t="str">
        <v>雷</v>
      </c>
    </row>
    <row r="90" spans="1:26" ht="15.75" customHeight="1" x14ac:dyDescent="0.25">
      <c r="A90" s="4" t="s">
        <v>163</v>
      </c>
      <c r="B90" s="10" t="s">
        <v>164</v>
      </c>
      <c r="C90" s="6" t="s">
        <v>20</v>
      </c>
      <c r="D90" s="6" t="s">
        <v>32</v>
      </c>
      <c r="E90" s="6" t="s">
        <v>16</v>
      </c>
      <c r="F90" s="6">
        <v>4</v>
      </c>
      <c r="G90" s="15">
        <v>7354</v>
      </c>
      <c r="H90" s="15">
        <v>746</v>
      </c>
      <c r="I90" s="15">
        <v>495</v>
      </c>
      <c r="J90" s="15">
        <v>647</v>
      </c>
      <c r="K90" s="6">
        <v>1</v>
      </c>
      <c r="L90" s="6"/>
      <c r="M90" s="6" t="s">
        <v>30</v>
      </c>
      <c r="N90" s="6">
        <v>154</v>
      </c>
      <c r="O90" s="6">
        <v>14</v>
      </c>
      <c r="P90" s="7">
        <v>45127</v>
      </c>
      <c r="Q90" s="6" t="s">
        <v>495</v>
      </c>
      <c r="S90" s="14" t="str">
        <f ca="1">IFERROR(__xludf.DUMMYFUNCTION("""COMPUTED_VALUE"""),"ヴィネ")</f>
        <v>ヴィネ</v>
      </c>
      <c r="T90" s="14" t="str">
        <f ca="1"/>
        <v>女性</v>
      </c>
      <c r="U90" s="14">
        <f ca="1"/>
        <v>154</v>
      </c>
      <c r="V90" s="14">
        <f ca="1"/>
        <v>14</v>
      </c>
      <c r="W90" s="8">
        <f ca="1"/>
        <v>45127</v>
      </c>
      <c r="X90" s="14" t="str">
        <f ca="1"/>
        <v>サミア</v>
      </c>
      <c r="Z90" s="14" t="str">
        <v>水</v>
      </c>
    </row>
    <row r="91" spans="1:26" ht="15.75" customHeight="1" x14ac:dyDescent="0.25">
      <c r="A91" s="4" t="s">
        <v>163</v>
      </c>
      <c r="B91" s="5" t="s">
        <v>165</v>
      </c>
      <c r="C91" s="6" t="s">
        <v>20</v>
      </c>
      <c r="D91" s="6" t="s">
        <v>15</v>
      </c>
      <c r="E91" s="6" t="s">
        <v>16</v>
      </c>
      <c r="F91" s="6">
        <v>4</v>
      </c>
      <c r="G91" s="15">
        <v>7394</v>
      </c>
      <c r="H91" s="15">
        <v>841</v>
      </c>
      <c r="I91" s="15">
        <v>416</v>
      </c>
      <c r="J91" s="15">
        <v>708</v>
      </c>
      <c r="K91" s="6">
        <v>1</v>
      </c>
      <c r="L91" s="6"/>
      <c r="M91" s="6" t="s">
        <v>30</v>
      </c>
      <c r="N91" s="6">
        <v>154</v>
      </c>
      <c r="O91" s="6">
        <v>14</v>
      </c>
      <c r="P91" s="7">
        <v>45127</v>
      </c>
      <c r="Q91" s="6" t="s">
        <v>495</v>
      </c>
      <c r="S91" s="14" t="str">
        <f ca="1">IFERROR(__xludf.DUMMYFUNCTION("""COMPUTED_VALUE"""),"ヴィネ")</f>
        <v>ヴィネ</v>
      </c>
      <c r="T91" s="14" t="str">
        <f ca="1"/>
        <v>女性</v>
      </c>
      <c r="U91" s="14">
        <f ca="1"/>
        <v>154</v>
      </c>
      <c r="V91" s="14">
        <f ca="1"/>
        <v>14</v>
      </c>
      <c r="W91" s="8">
        <f ca="1"/>
        <v>45127</v>
      </c>
      <c r="X91" s="14" t="str">
        <f ca="1"/>
        <v>サミア</v>
      </c>
      <c r="Z91" s="14" t="str">
        <v>水</v>
      </c>
    </row>
    <row r="92" spans="1:26" ht="15.75" customHeight="1" x14ac:dyDescent="0.25">
      <c r="A92" s="4" t="s">
        <v>166</v>
      </c>
      <c r="B92" s="9" t="s">
        <v>167</v>
      </c>
      <c r="C92" s="6" t="s">
        <v>20</v>
      </c>
      <c r="D92" s="6" t="s">
        <v>21</v>
      </c>
      <c r="E92" s="6" t="s">
        <v>62</v>
      </c>
      <c r="F92" s="6">
        <v>3</v>
      </c>
      <c r="G92" s="15">
        <v>6422</v>
      </c>
      <c r="H92" s="15">
        <v>1214</v>
      </c>
      <c r="I92" s="15">
        <v>464</v>
      </c>
      <c r="J92" s="15">
        <v>468</v>
      </c>
      <c r="K92" s="6">
        <v>1</v>
      </c>
      <c r="L92" s="6"/>
      <c r="M92" s="6" t="s">
        <v>30</v>
      </c>
      <c r="N92" s="6">
        <v>169</v>
      </c>
      <c r="O92" s="6">
        <v>24</v>
      </c>
      <c r="P92" s="7">
        <v>45188</v>
      </c>
      <c r="Q92" s="6" t="s">
        <v>297</v>
      </c>
      <c r="S92" s="14" t="str">
        <f ca="1">IFERROR(__xludf.DUMMYFUNCTION("""COMPUTED_VALUE"""),"ビフロンス")</f>
        <v>ビフロンス</v>
      </c>
      <c r="T92" s="14" t="str">
        <f ca="1"/>
        <v>女性</v>
      </c>
      <c r="U92" s="14">
        <f ca="1"/>
        <v>169</v>
      </c>
      <c r="V92" s="14">
        <f ca="1"/>
        <v>24</v>
      </c>
      <c r="W92" s="8">
        <f ca="1"/>
        <v>45188</v>
      </c>
      <c r="X92" s="14" t="str">
        <f ca="1"/>
        <v>？</v>
      </c>
      <c r="Z92" s="14" t="str">
        <v>水</v>
      </c>
    </row>
    <row r="93" spans="1:26" ht="15.75" customHeight="1" x14ac:dyDescent="0.25">
      <c r="A93" s="4" t="s">
        <v>166</v>
      </c>
      <c r="B93" s="10" t="s">
        <v>168</v>
      </c>
      <c r="C93" s="6" t="s">
        <v>20</v>
      </c>
      <c r="D93" s="6" t="s">
        <v>32</v>
      </c>
      <c r="E93" s="6" t="s">
        <v>62</v>
      </c>
      <c r="F93" s="6">
        <v>4</v>
      </c>
      <c r="G93" s="15">
        <v>7604</v>
      </c>
      <c r="H93" s="15">
        <v>1189</v>
      </c>
      <c r="I93" s="15">
        <v>493</v>
      </c>
      <c r="J93" s="15">
        <v>424</v>
      </c>
      <c r="K93" s="6">
        <v>1</v>
      </c>
      <c r="L93" s="6"/>
      <c r="M93" s="6" t="s">
        <v>30</v>
      </c>
      <c r="N93" s="6">
        <v>169</v>
      </c>
      <c r="O93" s="6">
        <v>24</v>
      </c>
      <c r="P93" s="7">
        <v>45188</v>
      </c>
      <c r="Q93" s="6" t="s">
        <v>297</v>
      </c>
      <c r="S93" s="14" t="str">
        <f ca="1">IFERROR(__xludf.DUMMYFUNCTION("""COMPUTED_VALUE"""),"ビフロンス")</f>
        <v>ビフロンス</v>
      </c>
      <c r="T93" s="14" t="str">
        <f ca="1"/>
        <v>女性</v>
      </c>
      <c r="U93" s="14">
        <f ca="1"/>
        <v>169</v>
      </c>
      <c r="V93" s="14">
        <f ca="1"/>
        <v>24</v>
      </c>
      <c r="W93" s="8">
        <f ca="1"/>
        <v>45188</v>
      </c>
      <c r="X93" s="14" t="str">
        <f ca="1"/>
        <v>？</v>
      </c>
      <c r="Z93" s="14" t="str">
        <v>水</v>
      </c>
    </row>
    <row r="94" spans="1:26" ht="15.75" customHeight="1" x14ac:dyDescent="0.25">
      <c r="A94" s="4" t="s">
        <v>169</v>
      </c>
      <c r="B94" s="9" t="s">
        <v>170</v>
      </c>
      <c r="C94" s="6" t="s">
        <v>24</v>
      </c>
      <c r="D94" s="6" t="s">
        <v>21</v>
      </c>
      <c r="E94" s="6" t="s">
        <v>29</v>
      </c>
      <c r="F94" s="6">
        <v>3</v>
      </c>
      <c r="G94" s="15">
        <v>8527</v>
      </c>
      <c r="H94" s="15">
        <v>1366</v>
      </c>
      <c r="I94" s="15">
        <v>388</v>
      </c>
      <c r="J94" s="15">
        <v>422</v>
      </c>
      <c r="K94" s="6">
        <v>1</v>
      </c>
      <c r="L94" s="6"/>
      <c r="M94" s="6" t="s">
        <v>30</v>
      </c>
      <c r="N94" s="6">
        <v>174</v>
      </c>
      <c r="O94" s="6">
        <v>28</v>
      </c>
      <c r="P94" s="7">
        <v>45135</v>
      </c>
      <c r="Q94" s="6" t="s">
        <v>496</v>
      </c>
      <c r="S94" s="14" t="str">
        <f ca="1">IFERROR(__xludf.DUMMYFUNCTION("""COMPUTED_VALUE"""),"ウヴァル")</f>
        <v>ウヴァル</v>
      </c>
      <c r="T94" s="14" t="str">
        <f ca="1"/>
        <v>女性</v>
      </c>
      <c r="U94" s="14">
        <f ca="1"/>
        <v>174</v>
      </c>
      <c r="V94" s="14">
        <f ca="1"/>
        <v>28</v>
      </c>
      <c r="W94" s="8">
        <f ca="1"/>
        <v>45135</v>
      </c>
      <c r="X94" s="14" t="str">
        <f ca="1"/>
        <v>ノイン</v>
      </c>
      <c r="Z94" s="14" t="str">
        <v>地</v>
      </c>
    </row>
    <row r="95" spans="1:26" ht="15.75" customHeight="1" x14ac:dyDescent="0.25">
      <c r="A95" s="4" t="s">
        <v>169</v>
      </c>
      <c r="B95" s="10" t="s">
        <v>171</v>
      </c>
      <c r="C95" s="6" t="s">
        <v>20</v>
      </c>
      <c r="D95" s="6" t="s">
        <v>32</v>
      </c>
      <c r="E95" s="6" t="s">
        <v>29</v>
      </c>
      <c r="F95" s="6">
        <v>2</v>
      </c>
      <c r="G95" s="15">
        <v>7585</v>
      </c>
      <c r="H95" s="15">
        <v>1404</v>
      </c>
      <c r="I95" s="15">
        <v>275</v>
      </c>
      <c r="J95" s="15">
        <v>501</v>
      </c>
      <c r="K95" s="6">
        <v>1</v>
      </c>
      <c r="L95" s="6"/>
      <c r="M95" s="6" t="s">
        <v>30</v>
      </c>
      <c r="N95" s="6">
        <v>174</v>
      </c>
      <c r="O95" s="6">
        <v>28</v>
      </c>
      <c r="P95" s="7">
        <v>45135</v>
      </c>
      <c r="Q95" s="6" t="s">
        <v>496</v>
      </c>
      <c r="S95" s="14" t="str">
        <f ca="1">IFERROR(__xludf.DUMMYFUNCTION("""COMPUTED_VALUE"""),"ウヴァル")</f>
        <v>ウヴァル</v>
      </c>
      <c r="T95" s="14" t="str">
        <f ca="1"/>
        <v>女性</v>
      </c>
      <c r="U95" s="14">
        <f ca="1"/>
        <v>174</v>
      </c>
      <c r="V95" s="14">
        <f ca="1"/>
        <v>28</v>
      </c>
      <c r="W95" s="8">
        <f ca="1"/>
        <v>45135</v>
      </c>
      <c r="X95" s="14" t="str">
        <f ca="1"/>
        <v>ノイン</v>
      </c>
      <c r="Z95" s="14" t="str">
        <v>地</v>
      </c>
    </row>
    <row r="96" spans="1:26" ht="15.75" customHeight="1" x14ac:dyDescent="0.25">
      <c r="A96" s="4" t="s">
        <v>172</v>
      </c>
      <c r="B96" s="5" t="s">
        <v>173</v>
      </c>
      <c r="C96" s="6" t="s">
        <v>24</v>
      </c>
      <c r="D96" s="6" t="s">
        <v>15</v>
      </c>
      <c r="E96" s="6" t="s">
        <v>62</v>
      </c>
      <c r="F96" s="6">
        <v>4</v>
      </c>
      <c r="G96" s="15">
        <v>7004</v>
      </c>
      <c r="H96" s="15">
        <v>1199</v>
      </c>
      <c r="I96" s="15">
        <v>454</v>
      </c>
      <c r="J96" s="15">
        <v>494</v>
      </c>
      <c r="K96" s="6">
        <v>1</v>
      </c>
      <c r="L96" s="6"/>
      <c r="M96" s="6" t="s">
        <v>30</v>
      </c>
      <c r="N96" s="6">
        <v>145</v>
      </c>
      <c r="O96" s="6">
        <v>15</v>
      </c>
      <c r="P96" s="7">
        <v>45013</v>
      </c>
      <c r="Q96" s="6" t="s">
        <v>297</v>
      </c>
      <c r="S96" s="14" t="str">
        <f ca="1">IFERROR(__xludf.DUMMYFUNCTION("""COMPUTED_VALUE"""),"ハーゲンティ")</f>
        <v>ハーゲンティ</v>
      </c>
      <c r="T96" s="14" t="str">
        <f ca="1"/>
        <v>女性</v>
      </c>
      <c r="U96" s="14">
        <f ca="1"/>
        <v>145</v>
      </c>
      <c r="V96" s="14">
        <f ca="1"/>
        <v>15</v>
      </c>
      <c r="W96" s="8">
        <f ca="1"/>
        <v>45013</v>
      </c>
      <c r="X96" s="14" t="str">
        <f ca="1"/>
        <v>？</v>
      </c>
      <c r="Z96" s="14" t="str">
        <v>雷</v>
      </c>
    </row>
    <row r="97" spans="1:26" ht="15.75" customHeight="1" x14ac:dyDescent="0.25">
      <c r="A97" s="4" t="s">
        <v>172</v>
      </c>
      <c r="B97" s="9" t="s">
        <v>174</v>
      </c>
      <c r="C97" s="6" t="s">
        <v>20</v>
      </c>
      <c r="D97" s="6" t="s">
        <v>21</v>
      </c>
      <c r="E97" s="6" t="s">
        <v>62</v>
      </c>
      <c r="F97" s="6">
        <v>3</v>
      </c>
      <c r="G97" s="15">
        <v>7382</v>
      </c>
      <c r="H97" s="15">
        <v>968</v>
      </c>
      <c r="I97" s="15">
        <v>418</v>
      </c>
      <c r="J97" s="15">
        <v>628</v>
      </c>
      <c r="K97" s="6">
        <v>1</v>
      </c>
      <c r="L97" s="6"/>
      <c r="M97" s="6" t="s">
        <v>30</v>
      </c>
      <c r="N97" s="6">
        <v>145</v>
      </c>
      <c r="O97" s="6">
        <v>15</v>
      </c>
      <c r="P97" s="7">
        <v>45013</v>
      </c>
      <c r="Q97" s="6" t="s">
        <v>297</v>
      </c>
      <c r="S97" s="14" t="str">
        <f ca="1">IFERROR(__xludf.DUMMYFUNCTION("""COMPUTED_VALUE"""),"ハーゲンティ")</f>
        <v>ハーゲンティ</v>
      </c>
      <c r="T97" s="14" t="str">
        <f ca="1"/>
        <v>女性</v>
      </c>
      <c r="U97" s="14">
        <f ca="1"/>
        <v>145</v>
      </c>
      <c r="V97" s="14">
        <f ca="1"/>
        <v>15</v>
      </c>
      <c r="W97" s="8">
        <f ca="1"/>
        <v>45013</v>
      </c>
      <c r="X97" s="14" t="str">
        <f ca="1"/>
        <v>？</v>
      </c>
      <c r="Z97" s="14" t="str">
        <v>雷</v>
      </c>
    </row>
    <row r="98" spans="1:26" ht="15.75" customHeight="1" x14ac:dyDescent="0.25">
      <c r="A98" s="4" t="s">
        <v>175</v>
      </c>
      <c r="B98" s="10" t="s">
        <v>176</v>
      </c>
      <c r="C98" s="6" t="s">
        <v>20</v>
      </c>
      <c r="D98" s="6" t="s">
        <v>32</v>
      </c>
      <c r="E98" s="6" t="s">
        <v>16</v>
      </c>
      <c r="F98" s="6">
        <v>2</v>
      </c>
      <c r="G98" s="15">
        <v>5835</v>
      </c>
      <c r="H98" s="15">
        <v>1164</v>
      </c>
      <c r="I98" s="15">
        <v>476</v>
      </c>
      <c r="J98" s="15">
        <v>500</v>
      </c>
      <c r="K98" s="6">
        <v>1</v>
      </c>
      <c r="L98" s="6"/>
      <c r="M98" s="6" t="s">
        <v>30</v>
      </c>
      <c r="N98" s="6">
        <v>137</v>
      </c>
      <c r="O98" s="6" t="s">
        <v>475</v>
      </c>
      <c r="P98" s="7">
        <v>45235</v>
      </c>
      <c r="Q98" s="6" t="s">
        <v>482</v>
      </c>
      <c r="S98" s="14" t="str">
        <f ca="1">IFERROR(__xludf.DUMMYFUNCTION("""COMPUTED_VALUE"""),"クロケル")</f>
        <v>クロケル</v>
      </c>
      <c r="T98" s="14" t="str">
        <f ca="1"/>
        <v>女性</v>
      </c>
      <c r="U98" s="14">
        <f ca="1"/>
        <v>137</v>
      </c>
      <c r="V98" s="14" t="str">
        <f ca="1"/>
        <v>不明</v>
      </c>
      <c r="W98" s="8">
        <f ca="1"/>
        <v>45235</v>
      </c>
      <c r="X98" s="14" t="str">
        <f ca="1"/>
        <v>（忘却）</v>
      </c>
      <c r="Z98" s="14" t="str">
        <v>水</v>
      </c>
    </row>
    <row r="99" spans="1:26" ht="15.75" customHeight="1" x14ac:dyDescent="0.25">
      <c r="A99" s="4" t="s">
        <v>175</v>
      </c>
      <c r="B99" s="5" t="s">
        <v>177</v>
      </c>
      <c r="C99" s="6" t="s">
        <v>20</v>
      </c>
      <c r="D99" s="6" t="s">
        <v>15</v>
      </c>
      <c r="E99" s="6" t="s">
        <v>16</v>
      </c>
      <c r="F99" s="6">
        <v>5</v>
      </c>
      <c r="G99" s="15">
        <v>5688</v>
      </c>
      <c r="H99" s="15">
        <v>1197</v>
      </c>
      <c r="I99" s="15">
        <v>287</v>
      </c>
      <c r="J99" s="15">
        <v>703</v>
      </c>
      <c r="K99" s="6">
        <v>1</v>
      </c>
      <c r="L99" s="6"/>
      <c r="M99" s="6" t="s">
        <v>30</v>
      </c>
      <c r="N99" s="6">
        <v>137</v>
      </c>
      <c r="O99" s="6" t="s">
        <v>475</v>
      </c>
      <c r="P99" s="7">
        <v>45235</v>
      </c>
      <c r="Q99" s="6" t="s">
        <v>482</v>
      </c>
      <c r="S99" s="14" t="str">
        <f ca="1">IFERROR(__xludf.DUMMYFUNCTION("""COMPUTED_VALUE"""),"クロケル")</f>
        <v>クロケル</v>
      </c>
      <c r="T99" s="14" t="str">
        <f ca="1"/>
        <v>女性</v>
      </c>
      <c r="U99" s="14">
        <f ca="1"/>
        <v>137</v>
      </c>
      <c r="V99" s="14" t="str">
        <f ca="1"/>
        <v>不明</v>
      </c>
      <c r="W99" s="8">
        <f ca="1"/>
        <v>45235</v>
      </c>
      <c r="X99" s="14" t="str">
        <f ca="1"/>
        <v>（忘却）</v>
      </c>
      <c r="Z99" s="14" t="str">
        <v>水</v>
      </c>
    </row>
    <row r="100" spans="1:26" ht="15.75" customHeight="1" x14ac:dyDescent="0.25">
      <c r="A100" s="4" t="s">
        <v>178</v>
      </c>
      <c r="B100" s="9" t="s">
        <v>179</v>
      </c>
      <c r="C100" s="6" t="s">
        <v>20</v>
      </c>
      <c r="D100" s="6" t="s">
        <v>21</v>
      </c>
      <c r="E100" s="6" t="s">
        <v>29</v>
      </c>
      <c r="F100" s="6">
        <v>4</v>
      </c>
      <c r="G100" s="15">
        <v>7671</v>
      </c>
      <c r="H100" s="15">
        <v>1136</v>
      </c>
      <c r="I100" s="15">
        <v>441</v>
      </c>
      <c r="J100" s="15">
        <v>479</v>
      </c>
      <c r="K100" s="6">
        <v>1</v>
      </c>
      <c r="L100" s="6"/>
      <c r="M100" s="6" t="s">
        <v>30</v>
      </c>
      <c r="N100" s="6">
        <v>174</v>
      </c>
      <c r="O100" s="6">
        <v>29</v>
      </c>
      <c r="P100" s="7">
        <v>45150</v>
      </c>
      <c r="Q100" s="6" t="s">
        <v>297</v>
      </c>
      <c r="S100" s="14" t="str">
        <f ca="1">IFERROR(__xludf.DUMMYFUNCTION("""COMPUTED_VALUE"""),"フルカス")</f>
        <v>フルカス</v>
      </c>
      <c r="T100" s="14" t="str">
        <f ca="1"/>
        <v>女性</v>
      </c>
      <c r="U100" s="14">
        <f ca="1"/>
        <v>174</v>
      </c>
      <c r="V100" s="14">
        <f ca="1"/>
        <v>29</v>
      </c>
      <c r="W100" s="8">
        <f ca="1"/>
        <v>45150</v>
      </c>
      <c r="X100" s="14" t="str">
        <f ca="1"/>
        <v>？</v>
      </c>
      <c r="Z100" s="14" t="str">
        <v>氷</v>
      </c>
    </row>
    <row r="101" spans="1:26" ht="15.75" customHeight="1" x14ac:dyDescent="0.25">
      <c r="A101" s="4" t="s">
        <v>178</v>
      </c>
      <c r="B101" s="5" t="s">
        <v>180</v>
      </c>
      <c r="C101" s="6" t="s">
        <v>20</v>
      </c>
      <c r="D101" s="6" t="s">
        <v>15</v>
      </c>
      <c r="E101" s="6" t="s">
        <v>29</v>
      </c>
      <c r="F101" s="6">
        <v>4</v>
      </c>
      <c r="G101" s="15">
        <v>7649</v>
      </c>
      <c r="H101" s="15">
        <v>1190</v>
      </c>
      <c r="I101" s="15">
        <v>406</v>
      </c>
      <c r="J101" s="15">
        <v>477</v>
      </c>
      <c r="K101" s="6">
        <v>1</v>
      </c>
      <c r="L101" s="6"/>
      <c r="M101" s="6" t="s">
        <v>30</v>
      </c>
      <c r="N101" s="6">
        <v>174</v>
      </c>
      <c r="O101" s="6">
        <v>29</v>
      </c>
      <c r="P101" s="7">
        <v>45150</v>
      </c>
      <c r="Q101" s="6" t="s">
        <v>297</v>
      </c>
      <c r="S101" s="14" t="str">
        <f ca="1">IFERROR(__xludf.DUMMYFUNCTION("""COMPUTED_VALUE"""),"フルカス")</f>
        <v>フルカス</v>
      </c>
      <c r="T101" s="14" t="str">
        <f ca="1"/>
        <v>女性</v>
      </c>
      <c r="U101" s="14">
        <f ca="1"/>
        <v>174</v>
      </c>
      <c r="V101" s="14">
        <f ca="1"/>
        <v>29</v>
      </c>
      <c r="W101" s="8">
        <f ca="1"/>
        <v>45150</v>
      </c>
      <c r="X101" s="14" t="str">
        <f ca="1"/>
        <v>？</v>
      </c>
      <c r="Z101" s="14" t="str">
        <v>氷</v>
      </c>
    </row>
    <row r="102" spans="1:26" ht="15.75" customHeight="1" x14ac:dyDescent="0.25">
      <c r="A102" s="4" t="s">
        <v>181</v>
      </c>
      <c r="B102" s="10" t="s">
        <v>182</v>
      </c>
      <c r="C102" s="6" t="s">
        <v>20</v>
      </c>
      <c r="D102" s="6" t="s">
        <v>32</v>
      </c>
      <c r="E102" s="6" t="s">
        <v>29</v>
      </c>
      <c r="F102" s="6">
        <v>3</v>
      </c>
      <c r="G102" s="15">
        <v>7429</v>
      </c>
      <c r="H102" s="15">
        <v>1303</v>
      </c>
      <c r="I102" s="15">
        <v>438</v>
      </c>
      <c r="J102" s="15">
        <v>447</v>
      </c>
      <c r="K102" s="6">
        <v>1</v>
      </c>
      <c r="L102" s="6"/>
      <c r="M102" s="6" t="s">
        <v>17</v>
      </c>
      <c r="N102" s="6">
        <v>172</v>
      </c>
      <c r="O102" s="6" t="s">
        <v>475</v>
      </c>
      <c r="P102" s="7">
        <v>44931</v>
      </c>
      <c r="Q102" s="6" t="s">
        <v>482</v>
      </c>
      <c r="S102" s="14" t="str">
        <f ca="1">IFERROR(__xludf.DUMMYFUNCTION("""COMPUTED_VALUE"""),"バラム")</f>
        <v>バラム</v>
      </c>
      <c r="T102" s="14" t="str">
        <f ca="1"/>
        <v>男性</v>
      </c>
      <c r="U102" s="14">
        <f ca="1"/>
        <v>172</v>
      </c>
      <c r="V102" s="14" t="str">
        <f ca="1"/>
        <v>不明</v>
      </c>
      <c r="W102" s="8">
        <f ca="1"/>
        <v>44931</v>
      </c>
      <c r="X102" s="14" t="str">
        <f ca="1"/>
        <v>（忘却）</v>
      </c>
      <c r="Z102" s="14" t="str">
        <v>風</v>
      </c>
    </row>
    <row r="103" spans="1:26" ht="15.75" customHeight="1" x14ac:dyDescent="0.25">
      <c r="A103" s="4" t="s">
        <v>181</v>
      </c>
      <c r="B103" s="9" t="s">
        <v>183</v>
      </c>
      <c r="C103" s="6" t="s">
        <v>14</v>
      </c>
      <c r="D103" s="6" t="s">
        <v>21</v>
      </c>
      <c r="E103" s="6" t="s">
        <v>29</v>
      </c>
      <c r="F103" s="6">
        <v>5</v>
      </c>
      <c r="G103" s="15">
        <v>5846</v>
      </c>
      <c r="H103" s="15">
        <v>838</v>
      </c>
      <c r="I103" s="15">
        <v>594</v>
      </c>
      <c r="J103" s="15">
        <v>676</v>
      </c>
      <c r="K103" s="6">
        <v>1</v>
      </c>
      <c r="L103" s="6"/>
      <c r="M103" s="6" t="s">
        <v>17</v>
      </c>
      <c r="N103" s="6">
        <v>172</v>
      </c>
      <c r="O103" s="6" t="s">
        <v>475</v>
      </c>
      <c r="P103" s="7">
        <v>44931</v>
      </c>
      <c r="Q103" s="6" t="s">
        <v>482</v>
      </c>
      <c r="S103" s="14" t="str">
        <f ca="1">IFERROR(__xludf.DUMMYFUNCTION("""COMPUTED_VALUE"""),"バラム")</f>
        <v>バラム</v>
      </c>
      <c r="T103" s="14" t="str">
        <f ca="1"/>
        <v>男性</v>
      </c>
      <c r="U103" s="14">
        <f ca="1"/>
        <v>172</v>
      </c>
      <c r="V103" s="14" t="str">
        <f ca="1"/>
        <v>不明</v>
      </c>
      <c r="W103" s="8">
        <f ca="1"/>
        <v>44931</v>
      </c>
      <c r="X103" s="14" t="str">
        <f ca="1"/>
        <v>（忘却）</v>
      </c>
      <c r="Z103" s="14" t="str">
        <v>風</v>
      </c>
    </row>
    <row r="104" spans="1:26" ht="15.75" customHeight="1" x14ac:dyDescent="0.25">
      <c r="A104" s="4" t="s">
        <v>184</v>
      </c>
      <c r="B104" s="10" t="s">
        <v>185</v>
      </c>
      <c r="C104" s="6" t="s">
        <v>24</v>
      </c>
      <c r="D104" s="6" t="s">
        <v>32</v>
      </c>
      <c r="E104" s="6" t="s">
        <v>29</v>
      </c>
      <c r="F104" s="6">
        <v>3</v>
      </c>
      <c r="G104" s="15">
        <v>7153</v>
      </c>
      <c r="H104" s="15">
        <v>1150</v>
      </c>
      <c r="I104" s="15">
        <v>440</v>
      </c>
      <c r="J104" s="15">
        <v>496</v>
      </c>
      <c r="K104" s="6">
        <v>1</v>
      </c>
      <c r="L104" s="6"/>
      <c r="M104" s="6" t="s">
        <v>17</v>
      </c>
      <c r="N104" s="6">
        <v>168</v>
      </c>
      <c r="O104" s="6">
        <v>16</v>
      </c>
      <c r="P104" s="7">
        <v>44977</v>
      </c>
      <c r="Q104" s="6" t="s">
        <v>297</v>
      </c>
      <c r="S104" s="14" t="str">
        <f ca="1">IFERROR(__xludf.DUMMYFUNCTION("""COMPUTED_VALUE"""),"アロケル")</f>
        <v>アロケル</v>
      </c>
      <c r="T104" s="14" t="str">
        <f ca="1"/>
        <v>男性</v>
      </c>
      <c r="U104" s="14">
        <f ca="1"/>
        <v>168</v>
      </c>
      <c r="V104" s="14">
        <f ca="1"/>
        <v>16</v>
      </c>
      <c r="W104" s="8">
        <f ca="1"/>
        <v>44977</v>
      </c>
      <c r="X104" s="14" t="str">
        <f ca="1"/>
        <v>？</v>
      </c>
      <c r="Z104" s="14" t="str">
        <v>氷</v>
      </c>
    </row>
    <row r="105" spans="1:26" ht="15.75" customHeight="1" x14ac:dyDescent="0.25">
      <c r="A105" s="4" t="s">
        <v>184</v>
      </c>
      <c r="B105" s="9" t="s">
        <v>186</v>
      </c>
      <c r="C105" s="6" t="s">
        <v>20</v>
      </c>
      <c r="D105" s="6" t="s">
        <v>21</v>
      </c>
      <c r="E105" s="6" t="s">
        <v>29</v>
      </c>
      <c r="F105" s="6">
        <v>5</v>
      </c>
      <c r="G105" s="15">
        <v>7110</v>
      </c>
      <c r="H105" s="15">
        <v>1199</v>
      </c>
      <c r="I105" s="15">
        <v>500</v>
      </c>
      <c r="J105" s="15">
        <v>427</v>
      </c>
      <c r="K105" s="6">
        <v>1</v>
      </c>
      <c r="L105" s="6"/>
      <c r="M105" s="6" t="s">
        <v>17</v>
      </c>
      <c r="N105" s="6">
        <v>168</v>
      </c>
      <c r="O105" s="6">
        <v>16</v>
      </c>
      <c r="P105" s="7">
        <v>44977</v>
      </c>
      <c r="Q105" s="6" t="s">
        <v>297</v>
      </c>
      <c r="S105" s="14" t="str">
        <f ca="1">IFERROR(__xludf.DUMMYFUNCTION("""COMPUTED_VALUE"""),"アロケル")</f>
        <v>アロケル</v>
      </c>
      <c r="T105" s="14" t="str">
        <f ca="1"/>
        <v>男性</v>
      </c>
      <c r="U105" s="14">
        <f ca="1"/>
        <v>168</v>
      </c>
      <c r="V105" s="14">
        <f ca="1"/>
        <v>16</v>
      </c>
      <c r="W105" s="8">
        <f ca="1"/>
        <v>44977</v>
      </c>
      <c r="X105" s="14" t="str">
        <f ca="1"/>
        <v>？</v>
      </c>
      <c r="Z105" s="14" t="str">
        <v>氷</v>
      </c>
    </row>
    <row r="106" spans="1:26" ht="15.75" customHeight="1" x14ac:dyDescent="0.25">
      <c r="A106" s="4" t="s">
        <v>187</v>
      </c>
      <c r="B106" s="5" t="s">
        <v>188</v>
      </c>
      <c r="C106" s="6" t="s">
        <v>24</v>
      </c>
      <c r="D106" s="6" t="s">
        <v>15</v>
      </c>
      <c r="E106" s="6" t="s">
        <v>16</v>
      </c>
      <c r="F106" s="6">
        <v>5</v>
      </c>
      <c r="G106" s="15">
        <v>9036</v>
      </c>
      <c r="H106" s="15">
        <v>712</v>
      </c>
      <c r="I106" s="15">
        <v>610</v>
      </c>
      <c r="J106" s="15">
        <v>463</v>
      </c>
      <c r="K106" s="6">
        <v>1</v>
      </c>
      <c r="L106" s="6"/>
      <c r="M106" s="6" t="s">
        <v>17</v>
      </c>
      <c r="N106" s="6">
        <v>184</v>
      </c>
      <c r="O106" s="6">
        <v>27</v>
      </c>
      <c r="P106" s="7">
        <v>45093</v>
      </c>
      <c r="Q106" s="6" t="s">
        <v>483</v>
      </c>
      <c r="S106" s="14" t="str">
        <f ca="1">IFERROR(__xludf.DUMMYFUNCTION("""COMPUTED_VALUE"""),"カイム")</f>
        <v>カイム</v>
      </c>
      <c r="T106" s="14" t="str">
        <f ca="1"/>
        <v>男性</v>
      </c>
      <c r="U106" s="14">
        <f ca="1"/>
        <v>184</v>
      </c>
      <c r="V106" s="14">
        <f ca="1"/>
        <v>27</v>
      </c>
      <c r="W106" s="8">
        <f ca="1"/>
        <v>45093</v>
      </c>
      <c r="X106" s="14" t="str">
        <f ca="1"/>
        <v>（本名）</v>
      </c>
      <c r="Z106" s="14" t="str">
        <v>火</v>
      </c>
    </row>
    <row r="107" spans="1:26" ht="15.75" customHeight="1" x14ac:dyDescent="0.25">
      <c r="A107" s="4" t="s">
        <v>187</v>
      </c>
      <c r="B107" s="9" t="s">
        <v>189</v>
      </c>
      <c r="C107" s="6" t="s">
        <v>20</v>
      </c>
      <c r="D107" s="6" t="s">
        <v>21</v>
      </c>
      <c r="E107" s="6" t="s">
        <v>16</v>
      </c>
      <c r="F107" s="6">
        <v>4</v>
      </c>
      <c r="G107" s="15">
        <v>9032</v>
      </c>
      <c r="H107" s="15">
        <v>615</v>
      </c>
      <c r="I107" s="15">
        <v>472</v>
      </c>
      <c r="J107" s="15">
        <v>636</v>
      </c>
      <c r="K107" s="6">
        <v>1</v>
      </c>
      <c r="L107" s="6"/>
      <c r="M107" s="6" t="s">
        <v>17</v>
      </c>
      <c r="N107" s="6">
        <v>184</v>
      </c>
      <c r="O107" s="6">
        <v>27</v>
      </c>
      <c r="P107" s="7">
        <v>45093</v>
      </c>
      <c r="Q107" s="6" t="s">
        <v>483</v>
      </c>
      <c r="S107" s="14" t="str">
        <f ca="1">IFERROR(__xludf.DUMMYFUNCTION("""COMPUTED_VALUE"""),"カイム")</f>
        <v>カイム</v>
      </c>
      <c r="T107" s="14" t="str">
        <f ca="1"/>
        <v>男性</v>
      </c>
      <c r="U107" s="14">
        <f ca="1"/>
        <v>184</v>
      </c>
      <c r="V107" s="14">
        <f ca="1"/>
        <v>27</v>
      </c>
      <c r="W107" s="8">
        <f ca="1"/>
        <v>45093</v>
      </c>
      <c r="X107" s="14" t="str">
        <f ca="1"/>
        <v>（本名）</v>
      </c>
      <c r="Z107" s="14" t="str">
        <v>火</v>
      </c>
    </row>
    <row r="108" spans="1:26" ht="15.75" customHeight="1" x14ac:dyDescent="0.25">
      <c r="A108" s="4" t="s">
        <v>190</v>
      </c>
      <c r="B108" s="9" t="s">
        <v>191</v>
      </c>
      <c r="C108" s="6" t="s">
        <v>20</v>
      </c>
      <c r="D108" s="6" t="s">
        <v>21</v>
      </c>
      <c r="E108" s="6" t="s">
        <v>16</v>
      </c>
      <c r="F108" s="6">
        <v>3</v>
      </c>
      <c r="G108" s="15">
        <v>7327</v>
      </c>
      <c r="H108" s="15">
        <v>1123</v>
      </c>
      <c r="I108" s="15">
        <v>440</v>
      </c>
      <c r="J108" s="15">
        <v>502</v>
      </c>
      <c r="K108" s="6">
        <v>2</v>
      </c>
      <c r="L108" s="6"/>
      <c r="M108" s="6" t="s">
        <v>30</v>
      </c>
      <c r="N108" s="6">
        <v>164</v>
      </c>
      <c r="O108" s="6">
        <v>19</v>
      </c>
      <c r="P108" s="7">
        <v>45168</v>
      </c>
      <c r="Q108" s="6" t="s">
        <v>497</v>
      </c>
      <c r="S108" s="14" t="str">
        <f ca="1">IFERROR(__xludf.DUMMYFUNCTION("""COMPUTED_VALUE"""),"ムルムル")</f>
        <v>ムルムル</v>
      </c>
      <c r="T108" s="14" t="str">
        <f ca="1"/>
        <v>女性</v>
      </c>
      <c r="U108" s="14">
        <f ca="1"/>
        <v>164</v>
      </c>
      <c r="V108" s="14">
        <f ca="1"/>
        <v>19</v>
      </c>
      <c r="W108" s="8">
        <f ca="1"/>
        <v>45168</v>
      </c>
      <c r="X108" s="14" t="str">
        <f ca="1"/>
        <v>マリーナ</v>
      </c>
      <c r="Z108" s="14" t="str">
        <v>風</v>
      </c>
    </row>
    <row r="109" spans="1:26" ht="15.75" customHeight="1" x14ac:dyDescent="0.25">
      <c r="A109" s="4" t="s">
        <v>190</v>
      </c>
      <c r="B109" s="10" t="s">
        <v>192</v>
      </c>
      <c r="C109" s="6" t="s">
        <v>20</v>
      </c>
      <c r="D109" s="6" t="s">
        <v>32</v>
      </c>
      <c r="E109" s="6" t="s">
        <v>16</v>
      </c>
      <c r="F109" s="6">
        <v>4</v>
      </c>
      <c r="G109" s="15">
        <v>5901</v>
      </c>
      <c r="H109" s="15">
        <v>990</v>
      </c>
      <c r="I109" s="15">
        <v>501</v>
      </c>
      <c r="J109" s="15">
        <v>626</v>
      </c>
      <c r="K109" s="6">
        <v>2</v>
      </c>
      <c r="L109" s="6"/>
      <c r="M109" s="6" t="s">
        <v>30</v>
      </c>
      <c r="N109" s="6">
        <v>164</v>
      </c>
      <c r="O109" s="6">
        <v>19</v>
      </c>
      <c r="P109" s="7">
        <v>45168</v>
      </c>
      <c r="Q109" s="6" t="s">
        <v>497</v>
      </c>
      <c r="S109" s="14" t="str">
        <f ca="1">IFERROR(__xludf.DUMMYFUNCTION("""COMPUTED_VALUE"""),"ムルムル")</f>
        <v>ムルムル</v>
      </c>
      <c r="T109" s="14" t="str">
        <f ca="1"/>
        <v>女性</v>
      </c>
      <c r="U109" s="14">
        <f ca="1"/>
        <v>164</v>
      </c>
      <c r="V109" s="14">
        <f ca="1"/>
        <v>19</v>
      </c>
      <c r="W109" s="8">
        <f ca="1"/>
        <v>45168</v>
      </c>
      <c r="X109" s="14" t="str">
        <f ca="1"/>
        <v>マリーナ</v>
      </c>
      <c r="Z109" s="14" t="str">
        <v>風</v>
      </c>
    </row>
    <row r="110" spans="1:26" ht="15.75" customHeight="1" x14ac:dyDescent="0.25">
      <c r="A110" s="4" t="s">
        <v>193</v>
      </c>
      <c r="B110" s="9" t="s">
        <v>194</v>
      </c>
      <c r="C110" s="6" t="s">
        <v>20</v>
      </c>
      <c r="D110" s="6" t="s">
        <v>21</v>
      </c>
      <c r="E110" s="6" t="s">
        <v>16</v>
      </c>
      <c r="F110" s="6">
        <v>4</v>
      </c>
      <c r="G110" s="15">
        <v>6133</v>
      </c>
      <c r="H110" s="15">
        <v>1345</v>
      </c>
      <c r="I110" s="15">
        <v>446</v>
      </c>
      <c r="J110" s="15">
        <v>482</v>
      </c>
      <c r="K110" s="6">
        <v>1</v>
      </c>
      <c r="L110" s="6"/>
      <c r="M110" s="6" t="s">
        <v>17</v>
      </c>
      <c r="N110" s="6">
        <v>182</v>
      </c>
      <c r="O110" s="6" t="s">
        <v>475</v>
      </c>
      <c r="P110" s="7">
        <v>45218</v>
      </c>
      <c r="Q110" s="6" t="s">
        <v>297</v>
      </c>
      <c r="S110" s="14" t="str">
        <f ca="1">IFERROR(__xludf.DUMMYFUNCTION("""COMPUTED_VALUE"""),"オロバス")</f>
        <v>オロバス</v>
      </c>
      <c r="T110" s="14" t="str">
        <f ca="1"/>
        <v>男性</v>
      </c>
      <c r="U110" s="14">
        <f ca="1"/>
        <v>182</v>
      </c>
      <c r="V110" s="14" t="str">
        <f ca="1"/>
        <v>不明</v>
      </c>
      <c r="W110" s="8">
        <f ca="1"/>
        <v>45218</v>
      </c>
      <c r="X110" s="14" t="str">
        <f ca="1"/>
        <v>？</v>
      </c>
      <c r="Z110" s="14" t="str">
        <v>氷</v>
      </c>
    </row>
    <row r="111" spans="1:26" ht="15.75" customHeight="1" x14ac:dyDescent="0.25">
      <c r="A111" s="4" t="s">
        <v>193</v>
      </c>
      <c r="B111" s="10" t="s">
        <v>195</v>
      </c>
      <c r="C111" s="6" t="s">
        <v>20</v>
      </c>
      <c r="D111" s="6" t="s">
        <v>32</v>
      </c>
      <c r="E111" s="6" t="s">
        <v>16</v>
      </c>
      <c r="F111" s="6">
        <v>2</v>
      </c>
      <c r="G111" s="15">
        <v>8990</v>
      </c>
      <c r="H111" s="15">
        <v>1207</v>
      </c>
      <c r="I111" s="15">
        <v>483</v>
      </c>
      <c r="J111" s="15">
        <v>284</v>
      </c>
      <c r="K111" s="6">
        <v>1</v>
      </c>
      <c r="L111" s="6"/>
      <c r="M111" s="6" t="s">
        <v>17</v>
      </c>
      <c r="N111" s="6">
        <v>182</v>
      </c>
      <c r="O111" s="6" t="s">
        <v>475</v>
      </c>
      <c r="P111" s="7">
        <v>45218</v>
      </c>
      <c r="Q111" s="6" t="s">
        <v>297</v>
      </c>
      <c r="S111" s="14" t="str">
        <f ca="1">IFERROR(__xludf.DUMMYFUNCTION("""COMPUTED_VALUE"""),"オロバス")</f>
        <v>オロバス</v>
      </c>
      <c r="T111" s="14" t="str">
        <f ca="1"/>
        <v>男性</v>
      </c>
      <c r="U111" s="14">
        <f ca="1"/>
        <v>182</v>
      </c>
      <c r="V111" s="14" t="str">
        <f ca="1"/>
        <v>不明</v>
      </c>
      <c r="W111" s="8">
        <f ca="1"/>
        <v>45218</v>
      </c>
      <c r="X111" s="14" t="str">
        <f ca="1"/>
        <v>？</v>
      </c>
      <c r="Z111" s="14" t="str">
        <v>氷</v>
      </c>
    </row>
    <row r="112" spans="1:26" ht="15.75" customHeight="1" x14ac:dyDescent="0.25">
      <c r="A112" s="4" t="s">
        <v>196</v>
      </c>
      <c r="B112" s="10" t="s">
        <v>197</v>
      </c>
      <c r="C112" s="6" t="s">
        <v>20</v>
      </c>
      <c r="D112" s="6" t="s">
        <v>32</v>
      </c>
      <c r="E112" s="6" t="s">
        <v>29</v>
      </c>
      <c r="F112" s="6">
        <v>4</v>
      </c>
      <c r="G112" s="15">
        <v>8129</v>
      </c>
      <c r="H112" s="15">
        <v>1155</v>
      </c>
      <c r="I112" s="15">
        <v>302</v>
      </c>
      <c r="J112" s="15">
        <v>611</v>
      </c>
      <c r="K112" s="6">
        <v>1</v>
      </c>
      <c r="L112" s="6"/>
      <c r="M112" s="6" t="s">
        <v>30</v>
      </c>
      <c r="N112" s="6">
        <v>177</v>
      </c>
      <c r="O112" s="6">
        <v>35</v>
      </c>
      <c r="P112" s="7">
        <v>45105</v>
      </c>
      <c r="Q112" s="6" t="s">
        <v>498</v>
      </c>
      <c r="S112" s="14" t="str">
        <f ca="1">IFERROR(__xludf.DUMMYFUNCTION("""COMPUTED_VALUE"""),"グレモリー")</f>
        <v>グレモリー</v>
      </c>
      <c r="T112" s="14" t="str">
        <f ca="1"/>
        <v>女性</v>
      </c>
      <c r="U112" s="14">
        <f ca="1"/>
        <v>177</v>
      </c>
      <c r="V112" s="14">
        <f ca="1"/>
        <v>35</v>
      </c>
      <c r="W112" s="8">
        <f ca="1"/>
        <v>45105</v>
      </c>
      <c r="X112" s="14" t="str">
        <f ca="1"/>
        <v>イゾルデ</v>
      </c>
      <c r="Z112" s="14" t="str">
        <v>氷</v>
      </c>
    </row>
    <row r="113" spans="1:26" ht="15.75" customHeight="1" x14ac:dyDescent="0.25">
      <c r="A113" s="4" t="s">
        <v>196</v>
      </c>
      <c r="B113" s="9" t="s">
        <v>198</v>
      </c>
      <c r="C113" s="6" t="s">
        <v>20</v>
      </c>
      <c r="D113" s="6" t="s">
        <v>21</v>
      </c>
      <c r="E113" s="6" t="s">
        <v>29</v>
      </c>
      <c r="F113" s="6">
        <v>4</v>
      </c>
      <c r="G113" s="15">
        <v>8773</v>
      </c>
      <c r="H113" s="15">
        <v>989</v>
      </c>
      <c r="I113" s="15">
        <v>485</v>
      </c>
      <c r="J113" s="15">
        <v>416</v>
      </c>
      <c r="K113" s="6">
        <v>1</v>
      </c>
      <c r="L113" s="6"/>
      <c r="M113" s="6" t="s">
        <v>30</v>
      </c>
      <c r="N113" s="6">
        <v>177</v>
      </c>
      <c r="O113" s="6">
        <v>35</v>
      </c>
      <c r="P113" s="7">
        <v>45105</v>
      </c>
      <c r="Q113" s="6" t="s">
        <v>498</v>
      </c>
      <c r="S113" s="14" t="str">
        <f ca="1">IFERROR(__xludf.DUMMYFUNCTION("""COMPUTED_VALUE"""),"グレモリー")</f>
        <v>グレモリー</v>
      </c>
      <c r="T113" s="14" t="str">
        <f ca="1"/>
        <v>女性</v>
      </c>
      <c r="U113" s="14">
        <f ca="1"/>
        <v>177</v>
      </c>
      <c r="V113" s="14">
        <f ca="1"/>
        <v>35</v>
      </c>
      <c r="W113" s="8">
        <f ca="1"/>
        <v>45105</v>
      </c>
      <c r="X113" s="14" t="str">
        <f ca="1"/>
        <v>イゾルデ</v>
      </c>
      <c r="Z113" s="14" t="str">
        <v>氷</v>
      </c>
    </row>
    <row r="114" spans="1:26" ht="15.75" customHeight="1" x14ac:dyDescent="0.25">
      <c r="A114" s="4" t="s">
        <v>199</v>
      </c>
      <c r="B114" s="9" t="s">
        <v>200</v>
      </c>
      <c r="C114" s="6" t="s">
        <v>24</v>
      </c>
      <c r="D114" s="6" t="s">
        <v>21</v>
      </c>
      <c r="E114" s="6" t="s">
        <v>29</v>
      </c>
      <c r="F114" s="6">
        <v>5</v>
      </c>
      <c r="G114" s="15">
        <v>7619</v>
      </c>
      <c r="H114" s="15">
        <v>1073</v>
      </c>
      <c r="I114" s="15">
        <v>415</v>
      </c>
      <c r="J114" s="15">
        <v>610</v>
      </c>
      <c r="K114" s="6">
        <v>1</v>
      </c>
      <c r="L114" s="6"/>
      <c r="M114" s="6" t="s">
        <v>30</v>
      </c>
      <c r="N114" s="6">
        <v>173</v>
      </c>
      <c r="O114" s="6" t="s">
        <v>499</v>
      </c>
      <c r="P114" s="7">
        <v>44987</v>
      </c>
      <c r="Q114" s="6" t="s">
        <v>297</v>
      </c>
      <c r="S114" s="14" t="str">
        <f ca="1">IFERROR(__xludf.DUMMYFUNCTION("""COMPUTED_VALUE"""),"オセ")</f>
        <v>オセ</v>
      </c>
      <c r="T114" s="14" t="str">
        <f ca="1"/>
        <v>女性</v>
      </c>
      <c r="U114" s="14">
        <f ca="1"/>
        <v>173</v>
      </c>
      <c r="V114" s="14" t="str">
        <f ca="1"/>
        <v>忘却</v>
      </c>
      <c r="W114" s="8">
        <f ca="1"/>
        <v>44987</v>
      </c>
      <c r="X114" s="14" t="str">
        <f ca="1"/>
        <v>？</v>
      </c>
      <c r="Z114" s="14" t="str">
        <v>氷</v>
      </c>
    </row>
    <row r="115" spans="1:26" ht="15.75" customHeight="1" x14ac:dyDescent="0.25">
      <c r="A115" s="4" t="s">
        <v>199</v>
      </c>
      <c r="B115" s="10" t="s">
        <v>201</v>
      </c>
      <c r="C115" s="6" t="s">
        <v>20</v>
      </c>
      <c r="D115" s="6" t="s">
        <v>32</v>
      </c>
      <c r="E115" s="6" t="s">
        <v>29</v>
      </c>
      <c r="F115" s="6">
        <v>2</v>
      </c>
      <c r="G115" s="15">
        <v>7351</v>
      </c>
      <c r="H115" s="15">
        <v>1152</v>
      </c>
      <c r="I115" s="15">
        <v>283</v>
      </c>
      <c r="J115" s="15">
        <v>614</v>
      </c>
      <c r="K115" s="6">
        <v>1</v>
      </c>
      <c r="L115" s="6"/>
      <c r="M115" s="6" t="s">
        <v>30</v>
      </c>
      <c r="N115" s="6">
        <v>173</v>
      </c>
      <c r="O115" s="6" t="s">
        <v>499</v>
      </c>
      <c r="P115" s="7">
        <v>44987</v>
      </c>
      <c r="Q115" s="6" t="s">
        <v>297</v>
      </c>
      <c r="S115" s="14" t="str">
        <f ca="1">IFERROR(__xludf.DUMMYFUNCTION("""COMPUTED_VALUE"""),"オセ")</f>
        <v>オセ</v>
      </c>
      <c r="T115" s="14" t="str">
        <f ca="1"/>
        <v>女性</v>
      </c>
      <c r="U115" s="14">
        <f ca="1"/>
        <v>173</v>
      </c>
      <c r="V115" s="14" t="str">
        <f ca="1"/>
        <v>忘却</v>
      </c>
      <c r="W115" s="8">
        <f ca="1"/>
        <v>44987</v>
      </c>
      <c r="X115" s="14" t="str">
        <f ca="1"/>
        <v>？</v>
      </c>
      <c r="Z115" s="14" t="str">
        <v>氷</v>
      </c>
    </row>
    <row r="116" spans="1:26" ht="15.75" customHeight="1" x14ac:dyDescent="0.25">
      <c r="A116" s="4" t="s">
        <v>202</v>
      </c>
      <c r="B116" s="9" t="s">
        <v>203</v>
      </c>
      <c r="C116" s="6" t="s">
        <v>20</v>
      </c>
      <c r="D116" s="6" t="s">
        <v>21</v>
      </c>
      <c r="E116" s="6" t="s">
        <v>62</v>
      </c>
      <c r="F116" s="6">
        <v>4</v>
      </c>
      <c r="G116" s="15">
        <v>7705</v>
      </c>
      <c r="H116" s="15">
        <v>962</v>
      </c>
      <c r="I116" s="15">
        <v>427</v>
      </c>
      <c r="J116" s="15">
        <v>612</v>
      </c>
      <c r="K116" s="6">
        <v>1</v>
      </c>
      <c r="L116" s="6"/>
      <c r="M116" s="6" t="s">
        <v>30</v>
      </c>
      <c r="N116" s="6">
        <v>160</v>
      </c>
      <c r="O116" s="6">
        <v>26</v>
      </c>
      <c r="P116" s="7">
        <v>45272</v>
      </c>
      <c r="Q116" s="6" t="s">
        <v>483</v>
      </c>
      <c r="S116" s="14" t="str">
        <f ca="1">IFERROR(__xludf.DUMMYFUNCTION("""COMPUTED_VALUE"""),"アミー")</f>
        <v>アミー</v>
      </c>
      <c r="T116" s="14" t="str">
        <f ca="1"/>
        <v>女性</v>
      </c>
      <c r="U116" s="14">
        <f ca="1"/>
        <v>160</v>
      </c>
      <c r="V116" s="14">
        <f ca="1"/>
        <v>26</v>
      </c>
      <c r="W116" s="8">
        <f ca="1"/>
        <v>45272</v>
      </c>
      <c r="X116" s="14" t="str">
        <f ca="1"/>
        <v>（本名）</v>
      </c>
      <c r="Z116" s="14" t="str">
        <v>火</v>
      </c>
    </row>
    <row r="117" spans="1:26" ht="15.75" customHeight="1" x14ac:dyDescent="0.25">
      <c r="A117" s="4" t="s">
        <v>202</v>
      </c>
      <c r="B117" s="5" t="s">
        <v>204</v>
      </c>
      <c r="C117" s="6" t="s">
        <v>20</v>
      </c>
      <c r="D117" s="6" t="s">
        <v>15</v>
      </c>
      <c r="E117" s="6" t="s">
        <v>62</v>
      </c>
      <c r="F117" s="6">
        <v>5</v>
      </c>
      <c r="G117" s="15">
        <v>7331</v>
      </c>
      <c r="H117" s="15">
        <v>953</v>
      </c>
      <c r="I117" s="15">
        <v>406</v>
      </c>
      <c r="J117" s="15">
        <v>626</v>
      </c>
      <c r="K117" s="6">
        <v>1</v>
      </c>
      <c r="L117" s="6"/>
      <c r="M117" s="6" t="s">
        <v>30</v>
      </c>
      <c r="N117" s="6">
        <v>160</v>
      </c>
      <c r="O117" s="6">
        <v>26</v>
      </c>
      <c r="P117" s="7">
        <v>45272</v>
      </c>
      <c r="Q117" s="6" t="s">
        <v>483</v>
      </c>
      <c r="S117" s="14" t="str">
        <f ca="1">IFERROR(__xludf.DUMMYFUNCTION("""COMPUTED_VALUE"""),"アミー")</f>
        <v>アミー</v>
      </c>
      <c r="T117" s="14" t="str">
        <f ca="1"/>
        <v>女性</v>
      </c>
      <c r="U117" s="14">
        <f ca="1"/>
        <v>160</v>
      </c>
      <c r="V117" s="14">
        <f ca="1"/>
        <v>26</v>
      </c>
      <c r="W117" s="8">
        <f ca="1"/>
        <v>45272</v>
      </c>
      <c r="X117" s="14" t="str">
        <f ca="1"/>
        <v>（本名）</v>
      </c>
      <c r="Z117" s="14" t="str">
        <v>火</v>
      </c>
    </row>
    <row r="118" spans="1:26" ht="15.75" customHeight="1" x14ac:dyDescent="0.25">
      <c r="A118" s="4" t="s">
        <v>205</v>
      </c>
      <c r="B118" s="9" t="s">
        <v>206</v>
      </c>
      <c r="C118" s="6" t="s">
        <v>24</v>
      </c>
      <c r="D118" s="6" t="s">
        <v>21</v>
      </c>
      <c r="E118" s="6" t="s">
        <v>16</v>
      </c>
      <c r="F118" s="6">
        <v>4</v>
      </c>
      <c r="G118" s="15">
        <v>7486</v>
      </c>
      <c r="H118" s="15">
        <v>750</v>
      </c>
      <c r="I118" s="15">
        <v>610</v>
      </c>
      <c r="J118" s="15">
        <v>502</v>
      </c>
      <c r="K118" s="6">
        <v>1</v>
      </c>
      <c r="L118" s="6" t="s">
        <v>146</v>
      </c>
      <c r="M118" s="6" t="s">
        <v>30</v>
      </c>
      <c r="N118" s="6">
        <v>162</v>
      </c>
      <c r="O118" s="6" t="s">
        <v>475</v>
      </c>
      <c r="P118" s="7">
        <v>45226</v>
      </c>
      <c r="Q118" s="6" t="s">
        <v>297</v>
      </c>
      <c r="S118" s="14" t="str">
        <f ca="1">IFERROR(__xludf.DUMMYFUNCTION("""COMPUTED_VALUE"""),"オリアス")</f>
        <v>オリアス</v>
      </c>
      <c r="T118" s="14" t="str">
        <f ca="1"/>
        <v>女性</v>
      </c>
      <c r="U118" s="14">
        <f ca="1"/>
        <v>162</v>
      </c>
      <c r="V118" s="14" t="str">
        <f ca="1"/>
        <v>不明</v>
      </c>
      <c r="W118" s="8">
        <f ca="1"/>
        <v>45226</v>
      </c>
      <c r="X118" s="14" t="str">
        <f ca="1"/>
        <v>？</v>
      </c>
      <c r="Z118" s="14" t="str">
        <v>氷</v>
      </c>
    </row>
    <row r="119" spans="1:26" ht="15.75" customHeight="1" x14ac:dyDescent="0.25">
      <c r="A119" s="4" t="s">
        <v>205</v>
      </c>
      <c r="B119" s="5" t="s">
        <v>207</v>
      </c>
      <c r="C119" s="6" t="s">
        <v>20</v>
      </c>
      <c r="D119" s="6" t="s">
        <v>15</v>
      </c>
      <c r="E119" s="6" t="s">
        <v>16</v>
      </c>
      <c r="F119" s="6">
        <v>4</v>
      </c>
      <c r="G119" s="15">
        <v>5947</v>
      </c>
      <c r="H119" s="15">
        <v>1191</v>
      </c>
      <c r="I119" s="15">
        <v>278</v>
      </c>
      <c r="J119" s="15">
        <v>711</v>
      </c>
      <c r="K119" s="6">
        <v>1</v>
      </c>
      <c r="L119" s="6" t="s">
        <v>146</v>
      </c>
      <c r="M119" s="6" t="s">
        <v>30</v>
      </c>
      <c r="N119" s="6">
        <v>162</v>
      </c>
      <c r="O119" s="6" t="s">
        <v>475</v>
      </c>
      <c r="P119" s="7">
        <v>45226</v>
      </c>
      <c r="Q119" s="6" t="s">
        <v>297</v>
      </c>
      <c r="S119" s="14" t="str">
        <f ca="1">IFERROR(__xludf.DUMMYFUNCTION("""COMPUTED_VALUE"""),"オリアス")</f>
        <v>オリアス</v>
      </c>
      <c r="T119" s="14" t="str">
        <f ca="1"/>
        <v>女性</v>
      </c>
      <c r="U119" s="14">
        <f ca="1"/>
        <v>162</v>
      </c>
      <c r="V119" s="14" t="str">
        <f ca="1"/>
        <v>不明</v>
      </c>
      <c r="W119" s="8">
        <f ca="1"/>
        <v>45226</v>
      </c>
      <c r="X119" s="14" t="str">
        <f ca="1"/>
        <v>？</v>
      </c>
      <c r="Z119" s="14" t="str">
        <v>氷</v>
      </c>
    </row>
    <row r="120" spans="1:26" ht="15.75" customHeight="1" x14ac:dyDescent="0.25">
      <c r="A120" s="4" t="s">
        <v>208</v>
      </c>
      <c r="B120" s="10" t="s">
        <v>209</v>
      </c>
      <c r="C120" s="6" t="s">
        <v>20</v>
      </c>
      <c r="D120" s="6" t="s">
        <v>32</v>
      </c>
      <c r="E120" s="6" t="s">
        <v>62</v>
      </c>
      <c r="F120" s="6">
        <v>3</v>
      </c>
      <c r="G120" s="15">
        <v>7826</v>
      </c>
      <c r="H120" s="15">
        <v>953</v>
      </c>
      <c r="I120" s="15">
        <v>624</v>
      </c>
      <c r="J120" s="15">
        <v>381</v>
      </c>
      <c r="K120" s="6">
        <v>1</v>
      </c>
      <c r="L120" s="6"/>
      <c r="M120" s="6" t="s">
        <v>17</v>
      </c>
      <c r="N120" s="6">
        <v>173</v>
      </c>
      <c r="O120" s="6" t="s">
        <v>475</v>
      </c>
      <c r="P120" s="7">
        <v>45250</v>
      </c>
      <c r="Q120" s="6" t="s">
        <v>500</v>
      </c>
      <c r="S120" s="14" t="str">
        <f ca="1">IFERROR(__xludf.DUMMYFUNCTION("""COMPUTED_VALUE"""),"ウァプラ")</f>
        <v>ウァプラ</v>
      </c>
      <c r="T120" s="14" t="str">
        <f ca="1"/>
        <v>男性</v>
      </c>
      <c r="U120" s="14">
        <f ca="1"/>
        <v>173</v>
      </c>
      <c r="V120" s="14" t="str">
        <f ca="1"/>
        <v>不明</v>
      </c>
      <c r="W120" s="8">
        <f ca="1"/>
        <v>45250</v>
      </c>
      <c r="X120" s="14" t="str">
        <f ca="1"/>
        <v>グリプス</v>
      </c>
      <c r="Z120" s="14" t="str">
        <v>水</v>
      </c>
    </row>
    <row r="121" spans="1:26" ht="15.75" customHeight="1" x14ac:dyDescent="0.25">
      <c r="A121" s="4" t="s">
        <v>208</v>
      </c>
      <c r="B121" s="5" t="s">
        <v>210</v>
      </c>
      <c r="C121" s="6" t="s">
        <v>20</v>
      </c>
      <c r="D121" s="6" t="s">
        <v>15</v>
      </c>
      <c r="E121" s="6" t="s">
        <v>62</v>
      </c>
      <c r="F121" s="6">
        <v>4</v>
      </c>
      <c r="G121" s="15">
        <v>5948</v>
      </c>
      <c r="H121" s="15">
        <v>1375</v>
      </c>
      <c r="I121" s="15">
        <v>409</v>
      </c>
      <c r="J121" s="15">
        <v>490</v>
      </c>
      <c r="K121" s="6">
        <v>1</v>
      </c>
      <c r="L121" s="6"/>
      <c r="M121" s="6" t="s">
        <v>17</v>
      </c>
      <c r="N121" s="6">
        <v>173</v>
      </c>
      <c r="O121" s="6" t="s">
        <v>475</v>
      </c>
      <c r="P121" s="7">
        <v>45250</v>
      </c>
      <c r="Q121" s="6" t="s">
        <v>500</v>
      </c>
      <c r="S121" s="14" t="str">
        <f ca="1">IFERROR(__xludf.DUMMYFUNCTION("""COMPUTED_VALUE"""),"ウァプラ")</f>
        <v>ウァプラ</v>
      </c>
      <c r="T121" s="14" t="str">
        <f ca="1"/>
        <v>男性</v>
      </c>
      <c r="U121" s="14">
        <f ca="1"/>
        <v>173</v>
      </c>
      <c r="V121" s="14" t="str">
        <f ca="1"/>
        <v>不明</v>
      </c>
      <c r="W121" s="8">
        <f ca="1"/>
        <v>45250</v>
      </c>
      <c r="X121" s="14" t="str">
        <f ca="1"/>
        <v>グリプス</v>
      </c>
      <c r="Z121" s="14" t="str">
        <v>雷</v>
      </c>
    </row>
    <row r="122" spans="1:26" ht="15.75" customHeight="1" x14ac:dyDescent="0.25">
      <c r="A122" s="4" t="s">
        <v>211</v>
      </c>
      <c r="B122" s="10" t="s">
        <v>212</v>
      </c>
      <c r="C122" s="6" t="s">
        <v>24</v>
      </c>
      <c r="D122" s="6" t="s">
        <v>32</v>
      </c>
      <c r="E122" s="6" t="s">
        <v>29</v>
      </c>
      <c r="F122" s="6">
        <v>3</v>
      </c>
      <c r="G122" s="15">
        <v>8150</v>
      </c>
      <c r="H122" s="15">
        <v>640</v>
      </c>
      <c r="I122" s="15">
        <v>506</v>
      </c>
      <c r="J122" s="15">
        <v>645</v>
      </c>
      <c r="K122" s="6">
        <v>1</v>
      </c>
      <c r="L122" s="6"/>
      <c r="M122" s="6" t="s">
        <v>30</v>
      </c>
      <c r="N122" s="6">
        <v>163</v>
      </c>
      <c r="O122" s="6">
        <v>17</v>
      </c>
      <c r="P122" s="7">
        <v>45122</v>
      </c>
      <c r="Q122" s="6" t="s">
        <v>483</v>
      </c>
      <c r="S122" s="14" t="str">
        <f ca="1">IFERROR(__xludf.DUMMYFUNCTION("""COMPUTED_VALUE"""),"ザガン")</f>
        <v>ザガン</v>
      </c>
      <c r="T122" s="14" t="str">
        <f ca="1"/>
        <v>女性</v>
      </c>
      <c r="U122" s="14">
        <f ca="1"/>
        <v>163</v>
      </c>
      <c r="V122" s="14">
        <f ca="1"/>
        <v>17</v>
      </c>
      <c r="W122" s="8">
        <f ca="1"/>
        <v>45122</v>
      </c>
      <c r="X122" s="14" t="str">
        <f ca="1"/>
        <v>（本名）</v>
      </c>
      <c r="Z122" s="14" t="str">
        <v>水</v>
      </c>
    </row>
    <row r="123" spans="1:26" ht="15.75" customHeight="1" x14ac:dyDescent="0.25">
      <c r="A123" s="4" t="s">
        <v>211</v>
      </c>
      <c r="B123" s="9" t="s">
        <v>213</v>
      </c>
      <c r="C123" s="6" t="s">
        <v>20</v>
      </c>
      <c r="D123" s="6" t="s">
        <v>21</v>
      </c>
      <c r="E123" s="6" t="s">
        <v>29</v>
      </c>
      <c r="F123" s="6">
        <v>4</v>
      </c>
      <c r="G123" s="15">
        <v>8492</v>
      </c>
      <c r="H123" s="15">
        <v>975</v>
      </c>
      <c r="I123" s="15">
        <v>472</v>
      </c>
      <c r="J123" s="15">
        <v>406</v>
      </c>
      <c r="K123" s="6">
        <v>1</v>
      </c>
      <c r="L123" s="6"/>
      <c r="M123" s="6" t="s">
        <v>30</v>
      </c>
      <c r="N123" s="6">
        <v>163</v>
      </c>
      <c r="O123" s="6">
        <v>17</v>
      </c>
      <c r="P123" s="7">
        <v>45122</v>
      </c>
      <c r="Q123" s="6" t="s">
        <v>483</v>
      </c>
      <c r="S123" s="14" t="str">
        <f ca="1">IFERROR(__xludf.DUMMYFUNCTION("""COMPUTED_VALUE"""),"ザガン")</f>
        <v>ザガン</v>
      </c>
      <c r="T123" s="14" t="str">
        <f ca="1"/>
        <v>女性</v>
      </c>
      <c r="U123" s="14">
        <f ca="1"/>
        <v>163</v>
      </c>
      <c r="V123" s="14">
        <f ca="1"/>
        <v>17</v>
      </c>
      <c r="W123" s="8">
        <f ca="1"/>
        <v>45122</v>
      </c>
      <c r="X123" s="14" t="str">
        <f ca="1"/>
        <v>（本名）</v>
      </c>
      <c r="Z123" s="14" t="str">
        <v>水</v>
      </c>
    </row>
    <row r="124" spans="1:26" ht="15.75" customHeight="1" x14ac:dyDescent="0.25">
      <c r="A124" s="4" t="s">
        <v>214</v>
      </c>
      <c r="B124" s="9" t="s">
        <v>215</v>
      </c>
      <c r="C124" s="6" t="s">
        <v>20</v>
      </c>
      <c r="D124" s="6" t="s">
        <v>21</v>
      </c>
      <c r="E124" s="6" t="s">
        <v>62</v>
      </c>
      <c r="F124" s="6">
        <v>4</v>
      </c>
      <c r="G124" s="15">
        <v>7885</v>
      </c>
      <c r="H124" s="15">
        <v>900</v>
      </c>
      <c r="I124" s="15">
        <v>454</v>
      </c>
      <c r="J124" s="15">
        <v>610</v>
      </c>
      <c r="K124" s="6">
        <v>1</v>
      </c>
      <c r="L124" s="6" t="s">
        <v>146</v>
      </c>
      <c r="M124" s="6" t="s">
        <v>30</v>
      </c>
      <c r="N124" s="6">
        <v>165</v>
      </c>
      <c r="O124" s="6">
        <v>28</v>
      </c>
      <c r="P124" s="7">
        <v>45190</v>
      </c>
      <c r="Q124" s="6" t="s">
        <v>501</v>
      </c>
      <c r="S124" s="14" t="str">
        <f ca="1">IFERROR(__xludf.DUMMYFUNCTION("""COMPUTED_VALUE"""),"ウァラク")</f>
        <v>ウァラク</v>
      </c>
      <c r="T124" s="14" t="str">
        <f ca="1"/>
        <v>女性</v>
      </c>
      <c r="U124" s="14">
        <f ca="1"/>
        <v>165</v>
      </c>
      <c r="V124" s="14">
        <f ca="1"/>
        <v>28</v>
      </c>
      <c r="W124" s="8">
        <f ca="1"/>
        <v>45190</v>
      </c>
      <c r="X124" s="14" t="str">
        <f ca="1"/>
        <v>エレン</v>
      </c>
      <c r="Z124" s="14" t="str">
        <v>風</v>
      </c>
    </row>
    <row r="125" spans="1:26" ht="15.75" customHeight="1" x14ac:dyDescent="0.25">
      <c r="A125" s="4" t="s">
        <v>214</v>
      </c>
      <c r="B125" s="5" t="s">
        <v>216</v>
      </c>
      <c r="C125" s="6" t="s">
        <v>20</v>
      </c>
      <c r="D125" s="6" t="s">
        <v>15</v>
      </c>
      <c r="E125" s="6" t="s">
        <v>62</v>
      </c>
      <c r="F125" s="6">
        <v>6</v>
      </c>
      <c r="G125" s="15">
        <v>7703</v>
      </c>
      <c r="H125" s="15">
        <v>943</v>
      </c>
      <c r="I125" s="15">
        <v>502</v>
      </c>
      <c r="J125" s="15">
        <v>490</v>
      </c>
      <c r="K125" s="6">
        <v>1</v>
      </c>
      <c r="L125" s="6" t="s">
        <v>146</v>
      </c>
      <c r="M125" s="6" t="s">
        <v>30</v>
      </c>
      <c r="N125" s="6">
        <v>165</v>
      </c>
      <c r="O125" s="6">
        <v>28</v>
      </c>
      <c r="P125" s="7">
        <v>45190</v>
      </c>
      <c r="Q125" s="6" t="s">
        <v>501</v>
      </c>
      <c r="S125" s="14" t="str">
        <f ca="1">IFERROR(__xludf.DUMMYFUNCTION("""COMPUTED_VALUE"""),"ウァラク")</f>
        <v>ウァラク</v>
      </c>
      <c r="T125" s="14" t="str">
        <f ca="1"/>
        <v>女性</v>
      </c>
      <c r="U125" s="14">
        <f ca="1"/>
        <v>165</v>
      </c>
      <c r="V125" s="14">
        <f ca="1"/>
        <v>28</v>
      </c>
      <c r="W125" s="8">
        <f ca="1"/>
        <v>45190</v>
      </c>
      <c r="X125" s="14" t="str">
        <f ca="1"/>
        <v>エレン</v>
      </c>
      <c r="Z125" s="14" t="str">
        <v>風</v>
      </c>
    </row>
    <row r="126" spans="1:26" ht="15.75" customHeight="1" x14ac:dyDescent="0.25">
      <c r="A126" s="4" t="s">
        <v>217</v>
      </c>
      <c r="B126" s="9" t="s">
        <v>218</v>
      </c>
      <c r="C126" s="6" t="s">
        <v>20</v>
      </c>
      <c r="D126" s="6" t="s">
        <v>21</v>
      </c>
      <c r="E126" s="6" t="s">
        <v>62</v>
      </c>
      <c r="F126" s="6">
        <v>4</v>
      </c>
      <c r="G126" s="15">
        <v>7535</v>
      </c>
      <c r="H126" s="15">
        <v>639</v>
      </c>
      <c r="I126" s="15">
        <v>618</v>
      </c>
      <c r="J126" s="15">
        <v>609</v>
      </c>
      <c r="K126" s="6">
        <v>1</v>
      </c>
      <c r="L126" s="6"/>
      <c r="M126" s="6" t="s">
        <v>17</v>
      </c>
      <c r="N126" s="6">
        <v>174</v>
      </c>
      <c r="O126" s="6">
        <v>18</v>
      </c>
      <c r="P126" s="7">
        <v>45130</v>
      </c>
      <c r="Q126" s="6" t="s">
        <v>502</v>
      </c>
      <c r="S126" s="14" t="str">
        <f ca="1">IFERROR(__xludf.DUMMYFUNCTION("""COMPUTED_VALUE"""),"アンドラス")</f>
        <v>アンドラス</v>
      </c>
      <c r="T126" s="14" t="str">
        <f ca="1"/>
        <v>男性</v>
      </c>
      <c r="U126" s="14">
        <f ca="1"/>
        <v>174</v>
      </c>
      <c r="V126" s="14">
        <f ca="1"/>
        <v>18</v>
      </c>
      <c r="W126" s="8">
        <f ca="1"/>
        <v>45130</v>
      </c>
      <c r="X126" s="14" t="str">
        <f ca="1"/>
        <v>エミー</v>
      </c>
      <c r="Z126" s="14" t="str">
        <v>風</v>
      </c>
    </row>
    <row r="127" spans="1:26" ht="15.75" customHeight="1" x14ac:dyDescent="0.25">
      <c r="A127" s="4" t="s">
        <v>217</v>
      </c>
      <c r="B127" s="10" t="s">
        <v>219</v>
      </c>
      <c r="C127" s="6" t="s">
        <v>20</v>
      </c>
      <c r="D127" s="6" t="s">
        <v>32</v>
      </c>
      <c r="E127" s="6" t="s">
        <v>62</v>
      </c>
      <c r="F127" s="6">
        <v>3</v>
      </c>
      <c r="G127" s="15">
        <v>9109</v>
      </c>
      <c r="H127" s="15">
        <v>849</v>
      </c>
      <c r="I127" s="15">
        <v>490</v>
      </c>
      <c r="J127" s="15">
        <v>481</v>
      </c>
      <c r="K127" s="6">
        <v>1</v>
      </c>
      <c r="L127" s="6"/>
      <c r="M127" s="6" t="s">
        <v>17</v>
      </c>
      <c r="N127" s="6">
        <v>174</v>
      </c>
      <c r="O127" s="6">
        <v>18</v>
      </c>
      <c r="P127" s="7">
        <v>45130</v>
      </c>
      <c r="Q127" s="6" t="s">
        <v>502</v>
      </c>
      <c r="S127" s="14" t="str">
        <f ca="1">IFERROR(__xludf.DUMMYFUNCTION("""COMPUTED_VALUE"""),"アンドラス")</f>
        <v>アンドラス</v>
      </c>
      <c r="T127" s="14" t="str">
        <f ca="1"/>
        <v>男性</v>
      </c>
      <c r="U127" s="14">
        <f ca="1"/>
        <v>174</v>
      </c>
      <c r="V127" s="14">
        <f ca="1"/>
        <v>18</v>
      </c>
      <c r="W127" s="8">
        <f ca="1"/>
        <v>45130</v>
      </c>
      <c r="X127" s="14" t="str">
        <f ca="1"/>
        <v>エミー</v>
      </c>
      <c r="Z127" s="14" t="str">
        <v>雷</v>
      </c>
    </row>
    <row r="128" spans="1:26" ht="15.75" customHeight="1" x14ac:dyDescent="0.25">
      <c r="A128" s="4" t="s">
        <v>220</v>
      </c>
      <c r="B128" s="5" t="s">
        <v>221</v>
      </c>
      <c r="C128" s="6" t="s">
        <v>24</v>
      </c>
      <c r="D128" s="6" t="s">
        <v>15</v>
      </c>
      <c r="E128" s="6" t="s">
        <v>62</v>
      </c>
      <c r="F128" s="6">
        <v>5</v>
      </c>
      <c r="G128" s="15">
        <v>7702</v>
      </c>
      <c r="H128" s="15">
        <v>1005</v>
      </c>
      <c r="I128" s="15">
        <v>504</v>
      </c>
      <c r="J128" s="15">
        <v>485</v>
      </c>
      <c r="K128" s="6">
        <v>2</v>
      </c>
      <c r="L128" s="6"/>
      <c r="M128" s="6" t="s">
        <v>17</v>
      </c>
      <c r="N128" s="6">
        <v>173</v>
      </c>
      <c r="O128" s="6">
        <v>27</v>
      </c>
      <c r="P128" s="7">
        <v>45196</v>
      </c>
      <c r="Q128" s="6" t="s">
        <v>503</v>
      </c>
      <c r="S128" s="14" t="str">
        <f ca="1">IFERROR(__xludf.DUMMYFUNCTION("""COMPUTED_VALUE"""),"フラウロス")</f>
        <v>フラウロス</v>
      </c>
      <c r="T128" s="14" t="str">
        <f ca="1"/>
        <v>男性</v>
      </c>
      <c r="U128" s="14">
        <f ca="1"/>
        <v>173</v>
      </c>
      <c r="V128" s="14">
        <f ca="1"/>
        <v>27</v>
      </c>
      <c r="W128" s="8">
        <f ca="1"/>
        <v>45196</v>
      </c>
      <c r="X128" s="14" t="str">
        <f ca="1"/>
        <v>ユーゴ</v>
      </c>
      <c r="Z128" s="14" t="str">
        <v>水</v>
      </c>
    </row>
    <row r="129" spans="1:26" ht="15.75" customHeight="1" x14ac:dyDescent="0.25">
      <c r="A129" s="4" t="s">
        <v>220</v>
      </c>
      <c r="B129" s="10" t="s">
        <v>222</v>
      </c>
      <c r="C129" s="6" t="s">
        <v>20</v>
      </c>
      <c r="D129" s="6" t="s">
        <v>32</v>
      </c>
      <c r="E129" s="6" t="s">
        <v>62</v>
      </c>
      <c r="F129" s="6">
        <v>3</v>
      </c>
      <c r="G129" s="15">
        <v>7308</v>
      </c>
      <c r="H129" s="15">
        <v>1184</v>
      </c>
      <c r="I129" s="15">
        <v>405</v>
      </c>
      <c r="J129" s="15">
        <v>483</v>
      </c>
      <c r="K129" s="6">
        <v>2</v>
      </c>
      <c r="L129" s="6"/>
      <c r="M129" s="6" t="s">
        <v>17</v>
      </c>
      <c r="N129" s="6">
        <v>173</v>
      </c>
      <c r="O129" s="6">
        <v>27</v>
      </c>
      <c r="P129" s="7">
        <v>45196</v>
      </c>
      <c r="Q129" s="6" t="s">
        <v>503</v>
      </c>
      <c r="S129" s="14" t="str">
        <f ca="1">IFERROR(__xludf.DUMMYFUNCTION("""COMPUTED_VALUE"""),"フラウロス")</f>
        <v>フラウロス</v>
      </c>
      <c r="T129" s="14" t="str">
        <f ca="1"/>
        <v>男性</v>
      </c>
      <c r="U129" s="14">
        <f ca="1"/>
        <v>173</v>
      </c>
      <c r="V129" s="14">
        <f ca="1"/>
        <v>27</v>
      </c>
      <c r="W129" s="8">
        <f ca="1"/>
        <v>45196</v>
      </c>
      <c r="X129" s="14" t="str">
        <f ca="1"/>
        <v>ユーゴ</v>
      </c>
      <c r="Z129" s="14" t="str">
        <v>火</v>
      </c>
    </row>
    <row r="130" spans="1:26" ht="15.75" customHeight="1" x14ac:dyDescent="0.25">
      <c r="A130" s="4" t="s">
        <v>223</v>
      </c>
      <c r="B130" s="9" t="s">
        <v>224</v>
      </c>
      <c r="C130" s="6" t="s">
        <v>20</v>
      </c>
      <c r="D130" s="6" t="s">
        <v>21</v>
      </c>
      <c r="E130" s="6" t="s">
        <v>29</v>
      </c>
      <c r="F130" s="6">
        <v>3</v>
      </c>
      <c r="G130" s="15">
        <v>8713</v>
      </c>
      <c r="H130" s="15">
        <v>1165</v>
      </c>
      <c r="I130" s="15">
        <v>411</v>
      </c>
      <c r="J130" s="15">
        <v>449</v>
      </c>
      <c r="K130" s="6">
        <v>1</v>
      </c>
      <c r="L130" s="6"/>
      <c r="M130" s="6" t="s">
        <v>17</v>
      </c>
      <c r="N130" s="6">
        <v>173</v>
      </c>
      <c r="O130" s="6">
        <v>33</v>
      </c>
      <c r="P130" s="7">
        <v>45023</v>
      </c>
      <c r="Q130" s="6" t="s">
        <v>297</v>
      </c>
      <c r="S130" s="14" t="str">
        <f ca="1">IFERROR(__xludf.DUMMYFUNCTION("""COMPUTED_VALUE"""),"アンドレアルフス")</f>
        <v>アンドレアルフス</v>
      </c>
      <c r="T130" s="14" t="str">
        <f ca="1"/>
        <v>男性</v>
      </c>
      <c r="U130" s="14">
        <f ca="1"/>
        <v>173</v>
      </c>
      <c r="V130" s="14">
        <f ca="1"/>
        <v>33</v>
      </c>
      <c r="W130" s="8">
        <f ca="1"/>
        <v>45023</v>
      </c>
      <c r="X130" s="14" t="str">
        <f ca="1"/>
        <v>？</v>
      </c>
      <c r="Z130" s="14" t="str">
        <v>風</v>
      </c>
    </row>
    <row r="131" spans="1:26" ht="15.75" customHeight="1" x14ac:dyDescent="0.25">
      <c r="A131" s="4" t="s">
        <v>223</v>
      </c>
      <c r="B131" s="10" t="s">
        <v>225</v>
      </c>
      <c r="C131" s="6" t="s">
        <v>24</v>
      </c>
      <c r="D131" s="6" t="s">
        <v>32</v>
      </c>
      <c r="E131" s="6" t="s">
        <v>29</v>
      </c>
      <c r="F131" s="6">
        <v>3</v>
      </c>
      <c r="G131" s="15">
        <v>9087</v>
      </c>
      <c r="H131" s="15">
        <v>988</v>
      </c>
      <c r="I131" s="15">
        <v>285</v>
      </c>
      <c r="J131" s="15">
        <v>637</v>
      </c>
      <c r="K131" s="6">
        <v>2</v>
      </c>
      <c r="L131" s="6"/>
      <c r="M131" s="6" t="s">
        <v>17</v>
      </c>
      <c r="N131" s="6">
        <v>173</v>
      </c>
      <c r="O131" s="6">
        <v>33</v>
      </c>
      <c r="P131" s="7">
        <v>45023</v>
      </c>
      <c r="Q131" s="6" t="s">
        <v>297</v>
      </c>
      <c r="S131" s="14" t="str">
        <f ca="1">IFERROR(__xludf.DUMMYFUNCTION("""COMPUTED_VALUE"""),"アンドレアルフス")</f>
        <v>アンドレアルフス</v>
      </c>
      <c r="T131" s="14" t="str">
        <f ca="1"/>
        <v>男性</v>
      </c>
      <c r="U131" s="14">
        <f ca="1"/>
        <v>173</v>
      </c>
      <c r="V131" s="14">
        <f ca="1"/>
        <v>33</v>
      </c>
      <c r="W131" s="8">
        <f ca="1"/>
        <v>45023</v>
      </c>
      <c r="X131" s="14" t="str">
        <f ca="1"/>
        <v>？</v>
      </c>
      <c r="Z131" s="14" t="str">
        <v>風</v>
      </c>
    </row>
    <row r="132" spans="1:26" ht="15.75" customHeight="1" x14ac:dyDescent="0.25">
      <c r="A132" s="4" t="s">
        <v>226</v>
      </c>
      <c r="B132" s="9" t="s">
        <v>227</v>
      </c>
      <c r="C132" s="6" t="s">
        <v>24</v>
      </c>
      <c r="D132" s="6" t="s">
        <v>21</v>
      </c>
      <c r="E132" s="6" t="s">
        <v>62</v>
      </c>
      <c r="F132" s="6">
        <v>4</v>
      </c>
      <c r="G132" s="15">
        <v>6698</v>
      </c>
      <c r="H132" s="15">
        <v>1111</v>
      </c>
      <c r="I132" s="15">
        <v>419</v>
      </c>
      <c r="J132" s="15">
        <v>627</v>
      </c>
      <c r="K132" s="6">
        <v>1</v>
      </c>
      <c r="L132" s="6"/>
      <c r="M132" s="6" t="s">
        <v>30</v>
      </c>
      <c r="N132" s="6">
        <v>130</v>
      </c>
      <c r="O132" s="6">
        <v>10</v>
      </c>
      <c r="P132" s="7">
        <v>45075</v>
      </c>
      <c r="Q132" s="6" t="s">
        <v>504</v>
      </c>
      <c r="S132" s="14" t="str">
        <f ca="1">IFERROR(__xludf.DUMMYFUNCTION("""COMPUTED_VALUE"""),"キマリス")</f>
        <v>キマリス</v>
      </c>
      <c r="T132" s="14" t="str">
        <f ca="1"/>
        <v>女性</v>
      </c>
      <c r="U132" s="14">
        <f ca="1"/>
        <v>130</v>
      </c>
      <c r="V132" s="14">
        <f ca="1"/>
        <v>10</v>
      </c>
      <c r="W132" s="8">
        <f ca="1"/>
        <v>45075</v>
      </c>
      <c r="X132" s="14" t="str">
        <f ca="1"/>
        <v>エディリ</v>
      </c>
      <c r="Z132" s="14" t="str">
        <v>水</v>
      </c>
    </row>
    <row r="133" spans="1:26" ht="15.75" customHeight="1" x14ac:dyDescent="0.25">
      <c r="A133" s="4" t="s">
        <v>226</v>
      </c>
      <c r="B133" s="10" t="s">
        <v>228</v>
      </c>
      <c r="C133" s="6" t="s">
        <v>24</v>
      </c>
      <c r="D133" s="6" t="s">
        <v>32</v>
      </c>
      <c r="E133" s="6" t="s">
        <v>62</v>
      </c>
      <c r="F133" s="6">
        <v>4</v>
      </c>
      <c r="G133" s="15">
        <v>4270</v>
      </c>
      <c r="H133" s="15">
        <v>1159</v>
      </c>
      <c r="I133" s="15">
        <v>405</v>
      </c>
      <c r="J133" s="15">
        <v>673</v>
      </c>
      <c r="K133" s="6">
        <v>1</v>
      </c>
      <c r="L133" s="6"/>
      <c r="M133" s="6" t="s">
        <v>30</v>
      </c>
      <c r="N133" s="6">
        <v>130</v>
      </c>
      <c r="O133" s="6">
        <v>10</v>
      </c>
      <c r="P133" s="7">
        <v>45075</v>
      </c>
      <c r="Q133" s="6" t="s">
        <v>504</v>
      </c>
      <c r="S133" s="14" t="str">
        <f ca="1">IFERROR(__xludf.DUMMYFUNCTION("""COMPUTED_VALUE"""),"キマリス")</f>
        <v>キマリス</v>
      </c>
      <c r="T133" s="14" t="str">
        <f ca="1"/>
        <v>女性</v>
      </c>
      <c r="U133" s="14">
        <f ca="1"/>
        <v>130</v>
      </c>
      <c r="V133" s="14">
        <f ca="1"/>
        <v>10</v>
      </c>
      <c r="W133" s="8">
        <f ca="1"/>
        <v>45075</v>
      </c>
      <c r="X133" s="14" t="str">
        <f ca="1"/>
        <v>エディリ</v>
      </c>
      <c r="Z133" s="14" t="str">
        <v>水</v>
      </c>
    </row>
    <row r="134" spans="1:26" ht="15.75" customHeight="1" x14ac:dyDescent="0.25">
      <c r="A134" s="4" t="s">
        <v>229</v>
      </c>
      <c r="B134" s="5" t="s">
        <v>230</v>
      </c>
      <c r="C134" s="6" t="s">
        <v>14</v>
      </c>
      <c r="D134" s="6" t="s">
        <v>15</v>
      </c>
      <c r="E134" s="6" t="s">
        <v>16</v>
      </c>
      <c r="F134" s="6">
        <v>5</v>
      </c>
      <c r="G134" s="15">
        <v>6993</v>
      </c>
      <c r="H134" s="15">
        <v>950</v>
      </c>
      <c r="I134" s="15">
        <v>500</v>
      </c>
      <c r="J134" s="15">
        <v>510</v>
      </c>
      <c r="K134" s="6">
        <v>1</v>
      </c>
      <c r="L134" s="6" t="s">
        <v>146</v>
      </c>
      <c r="M134" s="6" t="s">
        <v>30</v>
      </c>
      <c r="N134" s="6">
        <v>132</v>
      </c>
      <c r="O134" s="6">
        <v>14</v>
      </c>
      <c r="P134" s="7">
        <v>44962</v>
      </c>
      <c r="Q134" s="6" t="s">
        <v>505</v>
      </c>
      <c r="S134" s="14" t="str">
        <f ca="1">IFERROR(__xludf.DUMMYFUNCTION("""COMPUTED_VALUE"""),"アムドゥスキアス")</f>
        <v>アムドゥスキアス</v>
      </c>
      <c r="T134" s="14" t="str">
        <f ca="1"/>
        <v>女性</v>
      </c>
      <c r="U134" s="14">
        <f ca="1"/>
        <v>132</v>
      </c>
      <c r="V134" s="14">
        <f ca="1"/>
        <v>14</v>
      </c>
      <c r="W134" s="8">
        <f ca="1"/>
        <v>44962</v>
      </c>
      <c r="X134" s="14" t="str">
        <f ca="1"/>
        <v>ソーラ</v>
      </c>
      <c r="Z134" s="14" t="str">
        <v>風</v>
      </c>
    </row>
    <row r="135" spans="1:26" ht="15.75" customHeight="1" x14ac:dyDescent="0.25">
      <c r="A135" s="4" t="s">
        <v>229</v>
      </c>
      <c r="B135" s="9" t="s">
        <v>231</v>
      </c>
      <c r="C135" s="6" t="s">
        <v>20</v>
      </c>
      <c r="D135" s="6" t="s">
        <v>21</v>
      </c>
      <c r="E135" s="6" t="s">
        <v>16</v>
      </c>
      <c r="F135" s="6">
        <v>4</v>
      </c>
      <c r="G135" s="15">
        <v>7171</v>
      </c>
      <c r="H135" s="15">
        <v>756</v>
      </c>
      <c r="I135" s="15">
        <v>500</v>
      </c>
      <c r="J135" s="15">
        <v>645</v>
      </c>
      <c r="K135" s="6">
        <v>1</v>
      </c>
      <c r="L135" s="6" t="s">
        <v>146</v>
      </c>
      <c r="M135" s="6" t="s">
        <v>30</v>
      </c>
      <c r="N135" s="6">
        <v>132</v>
      </c>
      <c r="O135" s="6">
        <v>14</v>
      </c>
      <c r="P135" s="7">
        <v>44962</v>
      </c>
      <c r="Q135" s="6" t="s">
        <v>505</v>
      </c>
      <c r="S135" s="14" t="str">
        <f ca="1">IFERROR(__xludf.DUMMYFUNCTION("""COMPUTED_VALUE"""),"アムドゥスキアス")</f>
        <v>アムドゥスキアス</v>
      </c>
      <c r="T135" s="14" t="str">
        <f ca="1"/>
        <v>女性</v>
      </c>
      <c r="U135" s="14">
        <f ca="1"/>
        <v>132</v>
      </c>
      <c r="V135" s="14">
        <f ca="1"/>
        <v>14</v>
      </c>
      <c r="W135" s="8">
        <f ca="1"/>
        <v>44962</v>
      </c>
      <c r="X135" s="14" t="str">
        <f ca="1"/>
        <v>ソーラ</v>
      </c>
      <c r="Z135" s="14" t="str">
        <v>風</v>
      </c>
    </row>
    <row r="136" spans="1:26" ht="15.75" customHeight="1" x14ac:dyDescent="0.25">
      <c r="A136" s="4" t="s">
        <v>232</v>
      </c>
      <c r="B136" s="5" t="s">
        <v>233</v>
      </c>
      <c r="C136" s="6" t="s">
        <v>20</v>
      </c>
      <c r="D136" s="6" t="s">
        <v>15</v>
      </c>
      <c r="E136" s="6" t="s">
        <v>16</v>
      </c>
      <c r="F136" s="6">
        <v>4</v>
      </c>
      <c r="G136" s="15">
        <v>7915</v>
      </c>
      <c r="H136" s="15">
        <v>1096</v>
      </c>
      <c r="I136" s="15">
        <v>628</v>
      </c>
      <c r="J136" s="15">
        <v>381</v>
      </c>
      <c r="K136" s="6">
        <v>1</v>
      </c>
      <c r="L136" s="6"/>
      <c r="M136" s="6" t="s">
        <v>30</v>
      </c>
      <c r="N136" s="6">
        <v>149</v>
      </c>
      <c r="O136" s="6" t="s">
        <v>475</v>
      </c>
      <c r="P136" s="7">
        <v>44968</v>
      </c>
      <c r="Q136" s="6" t="s">
        <v>506</v>
      </c>
      <c r="S136" s="14" t="str">
        <f ca="1">IFERROR(__xludf.DUMMYFUNCTION("""COMPUTED_VALUE"""),"ベリアル")</f>
        <v>ベリアル</v>
      </c>
      <c r="T136" s="14" t="str">
        <f ca="1"/>
        <v>女性</v>
      </c>
      <c r="U136" s="14">
        <f ca="1"/>
        <v>149</v>
      </c>
      <c r="V136" s="14" t="str">
        <f ca="1"/>
        <v>不明</v>
      </c>
      <c r="W136" s="8">
        <f ca="1"/>
        <v>44968</v>
      </c>
      <c r="X136" s="14" t="str">
        <f ca="1"/>
        <v>フラウ</v>
      </c>
      <c r="Z136" s="14" t="str">
        <v>火</v>
      </c>
    </row>
    <row r="137" spans="1:26" ht="15.75" customHeight="1" x14ac:dyDescent="0.25">
      <c r="A137" s="4" t="s">
        <v>232</v>
      </c>
      <c r="B137" s="10" t="s">
        <v>234</v>
      </c>
      <c r="C137" s="6" t="s">
        <v>14</v>
      </c>
      <c r="D137" s="6" t="s">
        <v>32</v>
      </c>
      <c r="E137" s="6" t="s">
        <v>16</v>
      </c>
      <c r="F137" s="6">
        <v>4</v>
      </c>
      <c r="G137" s="15">
        <v>7630</v>
      </c>
      <c r="H137" s="15">
        <v>976</v>
      </c>
      <c r="I137" s="15">
        <v>431</v>
      </c>
      <c r="J137" s="15">
        <v>644</v>
      </c>
      <c r="K137" s="6">
        <v>1</v>
      </c>
      <c r="L137" s="6"/>
      <c r="M137" s="6" t="s">
        <v>30</v>
      </c>
      <c r="N137" s="6">
        <v>149</v>
      </c>
      <c r="O137" s="6" t="s">
        <v>475</v>
      </c>
      <c r="P137" s="7">
        <v>44968</v>
      </c>
      <c r="Q137" s="6" t="s">
        <v>506</v>
      </c>
      <c r="S137" s="14" t="str">
        <f ca="1">IFERROR(__xludf.DUMMYFUNCTION("""COMPUTED_VALUE"""),"ベリアル")</f>
        <v>ベリアル</v>
      </c>
      <c r="T137" s="14" t="str">
        <f ca="1"/>
        <v>女性</v>
      </c>
      <c r="U137" s="14">
        <f ca="1"/>
        <v>149</v>
      </c>
      <c r="V137" s="14" t="str">
        <f ca="1"/>
        <v>不明</v>
      </c>
      <c r="W137" s="8">
        <f ca="1"/>
        <v>44968</v>
      </c>
      <c r="X137" s="14" t="str">
        <f ca="1"/>
        <v>フラウ</v>
      </c>
      <c r="Z137" s="14" t="str">
        <v>地</v>
      </c>
    </row>
    <row r="138" spans="1:26" ht="15.75" customHeight="1" x14ac:dyDescent="0.25">
      <c r="A138" s="4" t="s">
        <v>235</v>
      </c>
      <c r="B138" s="5" t="s">
        <v>236</v>
      </c>
      <c r="C138" s="6" t="s">
        <v>24</v>
      </c>
      <c r="D138" s="6" t="s">
        <v>15</v>
      </c>
      <c r="E138" s="6" t="s">
        <v>16</v>
      </c>
      <c r="F138" s="6">
        <v>4</v>
      </c>
      <c r="G138" s="15">
        <v>6808</v>
      </c>
      <c r="H138" s="15">
        <v>886</v>
      </c>
      <c r="I138" s="15">
        <v>515</v>
      </c>
      <c r="J138" s="15">
        <v>536</v>
      </c>
      <c r="K138" s="6">
        <v>1</v>
      </c>
      <c r="L138" s="6"/>
      <c r="M138" s="6" t="s">
        <v>17</v>
      </c>
      <c r="N138" s="6">
        <v>168</v>
      </c>
      <c r="O138" s="6">
        <v>18</v>
      </c>
      <c r="P138" s="7">
        <v>45232</v>
      </c>
      <c r="Q138" s="6" t="s">
        <v>507</v>
      </c>
      <c r="S138" s="14" t="str">
        <f ca="1">IFERROR(__xludf.DUMMYFUNCTION("""COMPUTED_VALUE"""),"デカラビア")</f>
        <v>デカラビア</v>
      </c>
      <c r="T138" s="14" t="str">
        <f ca="1"/>
        <v>男性</v>
      </c>
      <c r="U138" s="14">
        <f ca="1"/>
        <v>168</v>
      </c>
      <c r="V138" s="14">
        <f ca="1"/>
        <v>18</v>
      </c>
      <c r="W138" s="8">
        <f ca="1"/>
        <v>45232</v>
      </c>
      <c r="X138" s="14" t="str">
        <f ca="1"/>
        <v>セーマン</v>
      </c>
      <c r="Z138" s="14" t="str">
        <v>氷</v>
      </c>
    </row>
    <row r="139" spans="1:26" ht="15.75" customHeight="1" x14ac:dyDescent="0.25">
      <c r="A139" s="4" t="s">
        <v>235</v>
      </c>
      <c r="B139" s="10" t="s">
        <v>237</v>
      </c>
      <c r="C139" s="6" t="s">
        <v>20</v>
      </c>
      <c r="D139" s="6" t="s">
        <v>32</v>
      </c>
      <c r="E139" s="6" t="s">
        <v>16</v>
      </c>
      <c r="F139" s="6">
        <v>3</v>
      </c>
      <c r="G139" s="15">
        <v>5906</v>
      </c>
      <c r="H139" s="15">
        <v>1152</v>
      </c>
      <c r="I139" s="15">
        <v>421</v>
      </c>
      <c r="J139" s="15">
        <v>642</v>
      </c>
      <c r="K139" s="6">
        <v>1</v>
      </c>
      <c r="L139" s="6"/>
      <c r="M139" s="6" t="s">
        <v>17</v>
      </c>
      <c r="N139" s="6">
        <v>168</v>
      </c>
      <c r="O139" s="6">
        <v>18</v>
      </c>
      <c r="P139" s="7">
        <v>45232</v>
      </c>
      <c r="Q139" s="6" t="s">
        <v>507</v>
      </c>
      <c r="S139" s="14" t="str">
        <f ca="1">IFERROR(__xludf.DUMMYFUNCTION("""COMPUTED_VALUE"""),"デカラビア")</f>
        <v>デカラビア</v>
      </c>
      <c r="T139" s="14" t="str">
        <f ca="1"/>
        <v>男性</v>
      </c>
      <c r="U139" s="14">
        <f ca="1"/>
        <v>168</v>
      </c>
      <c r="V139" s="14">
        <f ca="1"/>
        <v>18</v>
      </c>
      <c r="W139" s="8">
        <f ca="1"/>
        <v>45232</v>
      </c>
      <c r="X139" s="14" t="str">
        <f ca="1"/>
        <v>セーマン</v>
      </c>
      <c r="Z139" s="14" t="str">
        <v>氷</v>
      </c>
    </row>
    <row r="140" spans="1:26" ht="15.75" customHeight="1" x14ac:dyDescent="0.25">
      <c r="A140" s="4" t="s">
        <v>238</v>
      </c>
      <c r="B140" s="10" t="s">
        <v>239</v>
      </c>
      <c r="C140" s="6" t="s">
        <v>24</v>
      </c>
      <c r="D140" s="6" t="s">
        <v>32</v>
      </c>
      <c r="E140" s="6" t="s">
        <v>29</v>
      </c>
      <c r="F140" s="6">
        <v>4</v>
      </c>
      <c r="G140" s="15">
        <v>7922</v>
      </c>
      <c r="H140" s="15">
        <v>884</v>
      </c>
      <c r="I140" s="15">
        <v>646</v>
      </c>
      <c r="J140" s="15">
        <v>413</v>
      </c>
      <c r="K140" s="6">
        <v>1</v>
      </c>
      <c r="L140" s="6"/>
      <c r="M140" s="6" t="s">
        <v>17</v>
      </c>
      <c r="N140" s="6">
        <v>133</v>
      </c>
      <c r="O140" s="6">
        <v>10</v>
      </c>
      <c r="P140" s="7">
        <v>44985</v>
      </c>
      <c r="Q140" s="6" t="s">
        <v>297</v>
      </c>
      <c r="S140" s="14" t="str">
        <f ca="1">IFERROR(__xludf.DUMMYFUNCTION("""COMPUTED_VALUE"""),"セーレ")</f>
        <v>セーレ</v>
      </c>
      <c r="T140" s="14" t="str">
        <f ca="1"/>
        <v>男性</v>
      </c>
      <c r="U140" s="14">
        <f ca="1"/>
        <v>133</v>
      </c>
      <c r="V140" s="14">
        <f ca="1"/>
        <v>10</v>
      </c>
      <c r="W140" s="8">
        <f ca="1"/>
        <v>44985</v>
      </c>
      <c r="X140" s="14" t="str">
        <f ca="1"/>
        <v>？</v>
      </c>
      <c r="Z140" s="14" t="str">
        <v>風</v>
      </c>
    </row>
    <row r="141" spans="1:26" ht="15.75" customHeight="1" x14ac:dyDescent="0.25">
      <c r="A141" s="4" t="s">
        <v>238</v>
      </c>
      <c r="B141" s="9" t="s">
        <v>240</v>
      </c>
      <c r="C141" s="6" t="s">
        <v>20</v>
      </c>
      <c r="D141" s="6" t="s">
        <v>21</v>
      </c>
      <c r="E141" s="6" t="s">
        <v>29</v>
      </c>
      <c r="F141" s="6">
        <v>5</v>
      </c>
      <c r="G141" s="15">
        <v>5741</v>
      </c>
      <c r="H141" s="15">
        <v>944</v>
      </c>
      <c r="I141" s="15">
        <v>416</v>
      </c>
      <c r="J141" s="15">
        <v>711</v>
      </c>
      <c r="K141" s="6">
        <v>1</v>
      </c>
      <c r="L141" s="6"/>
      <c r="M141" s="6" t="s">
        <v>17</v>
      </c>
      <c r="N141" s="6">
        <v>133</v>
      </c>
      <c r="O141" s="6">
        <v>10</v>
      </c>
      <c r="P141" s="7">
        <v>44985</v>
      </c>
      <c r="Q141" s="6" t="s">
        <v>297</v>
      </c>
      <c r="S141" s="14" t="str">
        <f ca="1">IFERROR(__xludf.DUMMYFUNCTION("""COMPUTED_VALUE"""),"セーレ")</f>
        <v>セーレ</v>
      </c>
      <c r="T141" s="14" t="str">
        <f ca="1"/>
        <v>男性</v>
      </c>
      <c r="U141" s="14">
        <f ca="1"/>
        <v>133</v>
      </c>
      <c r="V141" s="14">
        <f ca="1"/>
        <v>10</v>
      </c>
      <c r="W141" s="8">
        <f ca="1"/>
        <v>44985</v>
      </c>
      <c r="X141" s="14" t="str">
        <f ca="1"/>
        <v>？</v>
      </c>
      <c r="Z141" s="14" t="str">
        <v>風</v>
      </c>
    </row>
    <row r="142" spans="1:26" ht="15.75" customHeight="1" x14ac:dyDescent="0.25">
      <c r="A142" s="4" t="s">
        <v>241</v>
      </c>
      <c r="B142" s="10" t="s">
        <v>242</v>
      </c>
      <c r="C142" s="6" t="s">
        <v>20</v>
      </c>
      <c r="D142" s="6" t="s">
        <v>32</v>
      </c>
      <c r="E142" s="6" t="s">
        <v>16</v>
      </c>
      <c r="F142" s="6">
        <v>3</v>
      </c>
      <c r="G142" s="15">
        <v>6988</v>
      </c>
      <c r="H142" s="15">
        <v>1212</v>
      </c>
      <c r="I142" s="15">
        <v>446</v>
      </c>
      <c r="J142" s="15">
        <v>471</v>
      </c>
      <c r="K142" s="6">
        <v>1</v>
      </c>
      <c r="L142" s="6"/>
      <c r="M142" s="6" t="s">
        <v>30</v>
      </c>
      <c r="N142" s="6">
        <v>133</v>
      </c>
      <c r="O142" s="6">
        <v>12</v>
      </c>
      <c r="P142" s="7">
        <v>45221</v>
      </c>
      <c r="Q142" s="6" t="s">
        <v>508</v>
      </c>
      <c r="S142" s="14" t="str">
        <f ca="1">IFERROR(__xludf.DUMMYFUNCTION("""COMPUTED_VALUE"""),"ダンタリオン")</f>
        <v>ダンタリオン</v>
      </c>
      <c r="T142" s="14" t="str">
        <f ca="1"/>
        <v>女性</v>
      </c>
      <c r="U142" s="14">
        <f ca="1"/>
        <v>133</v>
      </c>
      <c r="V142" s="14">
        <f ca="1"/>
        <v>12</v>
      </c>
      <c r="W142" s="8">
        <f ca="1"/>
        <v>45221</v>
      </c>
      <c r="X142" s="14" t="str">
        <f ca="1"/>
        <v>クレア</v>
      </c>
      <c r="Z142" s="14" t="str">
        <v>水</v>
      </c>
    </row>
    <row r="143" spans="1:26" ht="15.75" customHeight="1" x14ac:dyDescent="0.25">
      <c r="A143" s="4" t="s">
        <v>241</v>
      </c>
      <c r="B143" s="5" t="s">
        <v>243</v>
      </c>
      <c r="C143" s="6" t="s">
        <v>20</v>
      </c>
      <c r="D143" s="6" t="s">
        <v>15</v>
      </c>
      <c r="E143" s="6" t="s">
        <v>16</v>
      </c>
      <c r="F143" s="6">
        <v>6</v>
      </c>
      <c r="G143" s="15">
        <v>7462</v>
      </c>
      <c r="H143" s="15">
        <v>1387</v>
      </c>
      <c r="I143" s="15">
        <v>491</v>
      </c>
      <c r="J143" s="15">
        <v>270</v>
      </c>
      <c r="K143" s="6">
        <v>1</v>
      </c>
      <c r="L143" s="6"/>
      <c r="M143" s="6" t="s">
        <v>30</v>
      </c>
      <c r="N143" s="6">
        <v>133</v>
      </c>
      <c r="O143" s="6">
        <v>12</v>
      </c>
      <c r="P143" s="7">
        <v>45221</v>
      </c>
      <c r="Q143" s="6" t="s">
        <v>508</v>
      </c>
      <c r="S143" s="14" t="str">
        <f ca="1">IFERROR(__xludf.DUMMYFUNCTION("""COMPUTED_VALUE"""),"ダンタリオン")</f>
        <v>ダンタリオン</v>
      </c>
      <c r="T143" s="14" t="str">
        <f ca="1"/>
        <v>女性</v>
      </c>
      <c r="U143" s="14">
        <f ca="1"/>
        <v>133</v>
      </c>
      <c r="V143" s="14">
        <f ca="1"/>
        <v>12</v>
      </c>
      <c r="W143" s="8">
        <f ca="1"/>
        <v>45221</v>
      </c>
      <c r="X143" s="14" t="str">
        <f ca="1"/>
        <v>クレア</v>
      </c>
      <c r="Z143" s="14" t="str">
        <v>氷</v>
      </c>
    </row>
    <row r="144" spans="1:26" ht="15.75" customHeight="1" x14ac:dyDescent="0.25">
      <c r="A144" s="4" t="s">
        <v>244</v>
      </c>
      <c r="B144" s="9" t="s">
        <v>245</v>
      </c>
      <c r="C144" s="6" t="s">
        <v>20</v>
      </c>
      <c r="D144" s="6" t="s">
        <v>21</v>
      </c>
      <c r="E144" s="6" t="s">
        <v>16</v>
      </c>
      <c r="F144" s="6">
        <v>4</v>
      </c>
      <c r="G144" s="15">
        <v>7914</v>
      </c>
      <c r="H144" s="15">
        <v>640</v>
      </c>
      <c r="I144" s="15">
        <v>610</v>
      </c>
      <c r="J144" s="15">
        <v>621</v>
      </c>
      <c r="K144" s="6">
        <v>1</v>
      </c>
      <c r="L144" s="6"/>
      <c r="M144" s="6" t="s">
        <v>30</v>
      </c>
      <c r="N144" s="6">
        <v>155</v>
      </c>
      <c r="O144" s="6">
        <v>16</v>
      </c>
      <c r="P144" s="7">
        <v>45179</v>
      </c>
      <c r="Q144" s="6" t="s">
        <v>297</v>
      </c>
      <c r="S144" s="14" t="str">
        <f ca="1">IFERROR(__xludf.DUMMYFUNCTION("""COMPUTED_VALUE"""),"アンドロマリウス")</f>
        <v>アンドロマリウス</v>
      </c>
      <c r="T144" s="14" t="str">
        <f ca="1"/>
        <v>女性</v>
      </c>
      <c r="U144" s="14">
        <f ca="1"/>
        <v>155</v>
      </c>
      <c r="V144" s="14">
        <f ca="1"/>
        <v>16</v>
      </c>
      <c r="W144" s="8">
        <f ca="1"/>
        <v>45179</v>
      </c>
      <c r="X144" s="14" t="str">
        <f ca="1"/>
        <v>？</v>
      </c>
      <c r="Z144" s="14" t="str">
        <v>氷</v>
      </c>
    </row>
    <row r="145" spans="1:26" ht="15.75" customHeight="1" x14ac:dyDescent="0.25">
      <c r="A145" s="4" t="s">
        <v>244</v>
      </c>
      <c r="B145" s="10" t="s">
        <v>246</v>
      </c>
      <c r="C145" s="6" t="s">
        <v>20</v>
      </c>
      <c r="D145" s="6" t="s">
        <v>32</v>
      </c>
      <c r="E145" s="6" t="s">
        <v>16</v>
      </c>
      <c r="F145" s="6">
        <v>4</v>
      </c>
      <c r="G145" s="15">
        <v>7094</v>
      </c>
      <c r="H145" s="15">
        <v>752</v>
      </c>
      <c r="I145" s="15">
        <v>472</v>
      </c>
      <c r="J145" s="15">
        <v>643</v>
      </c>
      <c r="K145" s="6">
        <v>1</v>
      </c>
      <c r="L145" s="6"/>
      <c r="M145" s="6" t="s">
        <v>30</v>
      </c>
      <c r="N145" s="6">
        <v>155</v>
      </c>
      <c r="O145" s="6">
        <v>16</v>
      </c>
      <c r="P145" s="7">
        <v>45179</v>
      </c>
      <c r="Q145" s="6" t="s">
        <v>297</v>
      </c>
      <c r="S145" s="14" t="str">
        <f ca="1">IFERROR(__xludf.DUMMYFUNCTION("""COMPUTED_VALUE"""),"アンドロマリウス")</f>
        <v>アンドロマリウス</v>
      </c>
      <c r="T145" s="14" t="str">
        <f ca="1"/>
        <v>女性</v>
      </c>
      <c r="U145" s="14">
        <f ca="1"/>
        <v>155</v>
      </c>
      <c r="V145" s="14">
        <f ca="1"/>
        <v>16</v>
      </c>
      <c r="W145" s="8">
        <f ca="1"/>
        <v>45179</v>
      </c>
      <c r="X145" s="14" t="str">
        <f ca="1"/>
        <v>？</v>
      </c>
      <c r="Z145" s="14" t="str">
        <v>氷</v>
      </c>
    </row>
    <row r="146" spans="1:26" ht="30" x14ac:dyDescent="0.25">
      <c r="A146" s="11" t="s">
        <v>247</v>
      </c>
      <c r="B146" s="10" t="s">
        <v>248</v>
      </c>
      <c r="C146" s="6" t="s">
        <v>24</v>
      </c>
      <c r="D146" s="6" t="s">
        <v>32</v>
      </c>
      <c r="E146" s="6" t="s">
        <v>16</v>
      </c>
      <c r="F146" s="6">
        <v>4</v>
      </c>
      <c r="G146" s="15">
        <v>6022</v>
      </c>
      <c r="H146" s="15">
        <v>814</v>
      </c>
      <c r="I146" s="15">
        <v>677</v>
      </c>
      <c r="J146" s="15">
        <v>533</v>
      </c>
      <c r="K146" s="6">
        <v>1</v>
      </c>
      <c r="L146" s="6" t="s">
        <v>146</v>
      </c>
      <c r="M146" s="6" t="s">
        <v>30</v>
      </c>
      <c r="N146" s="6">
        <v>130</v>
      </c>
      <c r="O146" s="6" t="s">
        <v>475</v>
      </c>
      <c r="P146" s="7" t="s">
        <v>249</v>
      </c>
      <c r="Q146" s="6" t="s">
        <v>249</v>
      </c>
      <c r="S146" s="14" t="str">
        <f ca="1">IFERROR(__xludf.DUMMYFUNCTION("""COMPUTED_VALUE"""),"リリム")</f>
        <v>リリム</v>
      </c>
      <c r="T146" s="14" t="str">
        <f ca="1"/>
        <v>女性</v>
      </c>
      <c r="U146" s="14">
        <f ca="1"/>
        <v>130</v>
      </c>
      <c r="V146" s="14" t="str">
        <f ca="1"/>
        <v>不明</v>
      </c>
      <c r="W146" s="8" t="str">
        <f ca="1"/>
        <v>‐</v>
      </c>
      <c r="X146" s="14" t="str">
        <f ca="1"/>
        <v>‐</v>
      </c>
      <c r="Z146" s="14" t="str">
        <v>地</v>
      </c>
    </row>
    <row r="147" spans="1:26" x14ac:dyDescent="0.25">
      <c r="A147" s="11" t="s">
        <v>247</v>
      </c>
      <c r="B147" s="5" t="s">
        <v>250</v>
      </c>
      <c r="C147" s="6" t="s">
        <v>20</v>
      </c>
      <c r="D147" s="6" t="s">
        <v>15</v>
      </c>
      <c r="E147" s="6" t="s">
        <v>16</v>
      </c>
      <c r="F147" s="6">
        <v>5</v>
      </c>
      <c r="G147" s="15">
        <v>7342</v>
      </c>
      <c r="H147" s="15">
        <v>1198</v>
      </c>
      <c r="I147" s="15">
        <v>415</v>
      </c>
      <c r="J147" s="15">
        <v>496</v>
      </c>
      <c r="K147" s="6">
        <v>1</v>
      </c>
      <c r="L147" s="6" t="s">
        <v>146</v>
      </c>
      <c r="M147" s="6" t="s">
        <v>30</v>
      </c>
      <c r="N147" s="6">
        <v>130</v>
      </c>
      <c r="O147" s="6" t="s">
        <v>475</v>
      </c>
      <c r="P147" s="7" t="s">
        <v>249</v>
      </c>
      <c r="Q147" s="6" t="s">
        <v>249</v>
      </c>
      <c r="S147" s="14" t="str">
        <f ca="1">IFERROR(__xludf.DUMMYFUNCTION("""COMPUTED_VALUE"""),"リリム")</f>
        <v>リリム</v>
      </c>
      <c r="T147" s="14" t="str">
        <f ca="1"/>
        <v>女性</v>
      </c>
      <c r="U147" s="14">
        <f ca="1"/>
        <v>130</v>
      </c>
      <c r="V147" s="14" t="str">
        <f ca="1"/>
        <v>不明</v>
      </c>
      <c r="W147" s="8" t="str">
        <f ca="1"/>
        <v>‐</v>
      </c>
      <c r="X147" s="14" t="str">
        <f ca="1"/>
        <v>‐</v>
      </c>
      <c r="Z147" s="14" t="str">
        <v>地</v>
      </c>
    </row>
    <row r="148" spans="1:26" ht="30" x14ac:dyDescent="0.25">
      <c r="A148" s="11" t="s">
        <v>251</v>
      </c>
      <c r="B148" s="5" t="s">
        <v>252</v>
      </c>
      <c r="C148" s="6" t="s">
        <v>24</v>
      </c>
      <c r="D148" s="6" t="s">
        <v>15</v>
      </c>
      <c r="E148" s="6" t="s">
        <v>16</v>
      </c>
      <c r="F148" s="6">
        <v>4</v>
      </c>
      <c r="G148" s="15">
        <v>9089</v>
      </c>
      <c r="H148" s="15">
        <v>1058</v>
      </c>
      <c r="I148" s="15">
        <v>482</v>
      </c>
      <c r="J148" s="15">
        <v>420</v>
      </c>
      <c r="K148" s="6">
        <v>1</v>
      </c>
      <c r="L148" s="6"/>
      <c r="M148" s="6" t="s">
        <v>30</v>
      </c>
      <c r="N148" s="6">
        <v>153</v>
      </c>
      <c r="O148" s="6" t="s">
        <v>509</v>
      </c>
      <c r="P148" s="7" t="s">
        <v>249</v>
      </c>
      <c r="Q148" s="6" t="s">
        <v>249</v>
      </c>
      <c r="S148" s="14" t="str">
        <f ca="1">IFERROR(__xludf.DUMMYFUNCTION("""COMPUTED_VALUE"""),"ニバス")</f>
        <v>ニバス</v>
      </c>
      <c r="T148" s="14" t="str">
        <f ca="1"/>
        <v>女性</v>
      </c>
      <c r="U148" s="14">
        <f ca="1"/>
        <v>153</v>
      </c>
      <c r="V148" s="14" t="str">
        <f ca="1"/>
        <v>100↓</v>
      </c>
      <c r="W148" s="8" t="str">
        <f ca="1"/>
        <v>‐</v>
      </c>
      <c r="X148" s="14" t="str">
        <f ca="1"/>
        <v>‐</v>
      </c>
      <c r="Z148" s="14" t="str">
        <v>火</v>
      </c>
    </row>
    <row r="149" spans="1:26" ht="15.75" customHeight="1" x14ac:dyDescent="0.25">
      <c r="A149" s="11" t="s">
        <v>251</v>
      </c>
      <c r="B149" s="10" t="s">
        <v>253</v>
      </c>
      <c r="C149" s="6" t="s">
        <v>20</v>
      </c>
      <c r="D149" s="6" t="s">
        <v>32</v>
      </c>
      <c r="E149" s="6" t="s">
        <v>16</v>
      </c>
      <c r="F149" s="6">
        <v>3</v>
      </c>
      <c r="G149" s="15">
        <v>6143</v>
      </c>
      <c r="H149" s="15">
        <v>1429</v>
      </c>
      <c r="I149" s="15">
        <v>406</v>
      </c>
      <c r="J149" s="15">
        <v>480</v>
      </c>
      <c r="K149" s="6">
        <v>1</v>
      </c>
      <c r="L149" s="6"/>
      <c r="M149" s="6" t="s">
        <v>30</v>
      </c>
      <c r="N149" s="6">
        <v>153</v>
      </c>
      <c r="O149" s="6" t="s">
        <v>509</v>
      </c>
      <c r="P149" s="7" t="s">
        <v>249</v>
      </c>
      <c r="Q149" s="6" t="s">
        <v>249</v>
      </c>
      <c r="S149" s="14" t="str">
        <f ca="1">IFERROR(__xludf.DUMMYFUNCTION("""COMPUTED_VALUE"""),"ニバス")</f>
        <v>ニバス</v>
      </c>
      <c r="T149" s="14" t="str">
        <f ca="1"/>
        <v>女性</v>
      </c>
      <c r="U149" s="14">
        <f ca="1"/>
        <v>153</v>
      </c>
      <c r="V149" s="14" t="str">
        <f ca="1"/>
        <v>100↓</v>
      </c>
      <c r="W149" s="8" t="str">
        <f ca="1"/>
        <v>‐</v>
      </c>
      <c r="X149" s="14" t="str">
        <f ca="1"/>
        <v>‐</v>
      </c>
      <c r="Z149" s="14" t="str">
        <v>火</v>
      </c>
    </row>
    <row r="150" spans="1:26" ht="15.75" customHeight="1" x14ac:dyDescent="0.25">
      <c r="A150" s="11" t="s">
        <v>254</v>
      </c>
      <c r="B150" s="5" t="s">
        <v>255</v>
      </c>
      <c r="C150" s="6" t="s">
        <v>20</v>
      </c>
      <c r="D150" s="6" t="s">
        <v>15</v>
      </c>
      <c r="E150" s="6" t="s">
        <v>62</v>
      </c>
      <c r="F150" s="6">
        <v>4</v>
      </c>
      <c r="G150" s="15">
        <v>8637</v>
      </c>
      <c r="H150" s="15">
        <v>707</v>
      </c>
      <c r="I150" s="15">
        <v>495</v>
      </c>
      <c r="J150" s="15">
        <v>534</v>
      </c>
      <c r="K150" s="6">
        <v>1</v>
      </c>
      <c r="L150" s="6"/>
      <c r="M150" s="6" t="s">
        <v>30</v>
      </c>
      <c r="N150" s="6">
        <v>154</v>
      </c>
      <c r="O150" s="6" t="s">
        <v>475</v>
      </c>
      <c r="P150" s="7" t="s">
        <v>249</v>
      </c>
      <c r="Q150" s="6" t="s">
        <v>249</v>
      </c>
      <c r="S150" s="14" t="str">
        <f ca="1">IFERROR(__xludf.DUMMYFUNCTION("""COMPUTED_VALUE"""),"サキュバス")</f>
        <v>サキュバス</v>
      </c>
      <c r="T150" s="14" t="str">
        <f ca="1"/>
        <v>女性</v>
      </c>
      <c r="U150" s="14">
        <f ca="1"/>
        <v>154</v>
      </c>
      <c r="V150" s="14" t="str">
        <f ca="1"/>
        <v>不明</v>
      </c>
      <c r="W150" s="8" t="str">
        <f ca="1"/>
        <v>‐</v>
      </c>
      <c r="X150" s="14" t="str">
        <f ca="1"/>
        <v>‐</v>
      </c>
      <c r="Z150" s="14" t="str">
        <v>雷</v>
      </c>
    </row>
    <row r="151" spans="1:26" ht="15.75" customHeight="1" x14ac:dyDescent="0.25">
      <c r="A151" s="11" t="s">
        <v>254</v>
      </c>
      <c r="B151" s="10" t="s">
        <v>256</v>
      </c>
      <c r="C151" s="6" t="s">
        <v>20</v>
      </c>
      <c r="D151" s="6" t="s">
        <v>32</v>
      </c>
      <c r="E151" s="6" t="s">
        <v>62</v>
      </c>
      <c r="F151" s="6">
        <v>3</v>
      </c>
      <c r="G151" s="15">
        <v>7530</v>
      </c>
      <c r="H151" s="15">
        <v>952</v>
      </c>
      <c r="I151" s="15">
        <v>429</v>
      </c>
      <c r="J151" s="15">
        <v>631</v>
      </c>
      <c r="K151" s="6">
        <v>1</v>
      </c>
      <c r="L151" s="6"/>
      <c r="M151" s="6" t="s">
        <v>30</v>
      </c>
      <c r="N151" s="6">
        <v>154</v>
      </c>
      <c r="O151" s="6" t="s">
        <v>475</v>
      </c>
      <c r="P151" s="7" t="s">
        <v>249</v>
      </c>
      <c r="Q151" s="6" t="s">
        <v>249</v>
      </c>
      <c r="S151" s="14" t="str">
        <f ca="1">IFERROR(__xludf.DUMMYFUNCTION("""COMPUTED_VALUE"""),"サキュバス")</f>
        <v>サキュバス</v>
      </c>
      <c r="T151" s="14" t="str">
        <f ca="1"/>
        <v>女性</v>
      </c>
      <c r="U151" s="14">
        <f ca="1"/>
        <v>154</v>
      </c>
      <c r="V151" s="14" t="str">
        <f ca="1"/>
        <v>不明</v>
      </c>
      <c r="W151" s="8" t="str">
        <f ca="1"/>
        <v>‐</v>
      </c>
      <c r="X151" s="14" t="str">
        <f ca="1"/>
        <v>‐</v>
      </c>
      <c r="Z151" s="14" t="str">
        <v>雷</v>
      </c>
    </row>
    <row r="152" spans="1:26" ht="15.75" customHeight="1" x14ac:dyDescent="0.25">
      <c r="A152" s="11" t="s">
        <v>257</v>
      </c>
      <c r="B152" s="9" t="s">
        <v>258</v>
      </c>
      <c r="C152" s="6" t="s">
        <v>259</v>
      </c>
      <c r="D152" s="6" t="s">
        <v>21</v>
      </c>
      <c r="E152" s="6" t="s">
        <v>16</v>
      </c>
      <c r="F152" s="6">
        <v>5</v>
      </c>
      <c r="G152" s="15">
        <v>7070</v>
      </c>
      <c r="H152" s="15">
        <v>700</v>
      </c>
      <c r="I152" s="15">
        <v>640</v>
      </c>
      <c r="J152" s="15">
        <v>610</v>
      </c>
      <c r="K152" s="6">
        <v>1</v>
      </c>
      <c r="L152" s="6"/>
      <c r="M152" s="6" t="s">
        <v>30</v>
      </c>
      <c r="N152" s="6">
        <v>172</v>
      </c>
      <c r="O152" s="6" t="s">
        <v>475</v>
      </c>
      <c r="P152" s="7" t="s">
        <v>249</v>
      </c>
      <c r="Q152" s="6" t="s">
        <v>249</v>
      </c>
      <c r="S152" s="14" t="str">
        <f ca="1">IFERROR(__xludf.DUMMYFUNCTION("""COMPUTED_VALUE"""),"ユフィール")</f>
        <v>ユフィール</v>
      </c>
      <c r="T152" s="14" t="str">
        <f ca="1"/>
        <v>女性</v>
      </c>
      <c r="U152" s="14">
        <f ca="1"/>
        <v>172</v>
      </c>
      <c r="V152" s="14" t="str">
        <f ca="1"/>
        <v>不明</v>
      </c>
      <c r="W152" s="8" t="str">
        <f ca="1"/>
        <v>‐</v>
      </c>
      <c r="X152" s="14" t="str">
        <f ca="1"/>
        <v>‐</v>
      </c>
      <c r="Z152" s="14" t="str">
        <v>風</v>
      </c>
    </row>
    <row r="153" spans="1:26" ht="15.75" customHeight="1" x14ac:dyDescent="0.25">
      <c r="A153" s="11" t="s">
        <v>257</v>
      </c>
      <c r="B153" s="5" t="s">
        <v>260</v>
      </c>
      <c r="C153" s="6" t="s">
        <v>259</v>
      </c>
      <c r="D153" s="6" t="s">
        <v>15</v>
      </c>
      <c r="E153" s="6" t="s">
        <v>16</v>
      </c>
      <c r="F153" s="6">
        <v>5</v>
      </c>
      <c r="G153" s="15">
        <v>7042</v>
      </c>
      <c r="H153" s="15">
        <v>632</v>
      </c>
      <c r="I153" s="15">
        <v>635</v>
      </c>
      <c r="J153" s="15">
        <v>614</v>
      </c>
      <c r="K153" s="6">
        <v>1</v>
      </c>
      <c r="L153" s="6"/>
      <c r="M153" s="6" t="s">
        <v>30</v>
      </c>
      <c r="N153" s="6">
        <v>172</v>
      </c>
      <c r="O153" s="6" t="s">
        <v>475</v>
      </c>
      <c r="P153" s="7" t="s">
        <v>249</v>
      </c>
      <c r="Q153" s="6" t="s">
        <v>249</v>
      </c>
      <c r="S153" s="14" t="str">
        <f ca="1">IFERROR(__xludf.DUMMYFUNCTION("""COMPUTED_VALUE"""),"ユフィール")</f>
        <v>ユフィール</v>
      </c>
      <c r="T153" s="14" t="str">
        <f ca="1"/>
        <v>女性</v>
      </c>
      <c r="U153" s="14">
        <f ca="1"/>
        <v>172</v>
      </c>
      <c r="V153" s="14" t="str">
        <f ca="1"/>
        <v>不明</v>
      </c>
      <c r="W153" s="8" t="str">
        <f ca="1"/>
        <v>‐</v>
      </c>
      <c r="X153" s="14" t="str">
        <f ca="1"/>
        <v>‐</v>
      </c>
      <c r="Z153" s="14" t="str">
        <v>風</v>
      </c>
    </row>
    <row r="154" spans="1:26" ht="15.75" customHeight="1" x14ac:dyDescent="0.25">
      <c r="A154" s="11" t="s">
        <v>261</v>
      </c>
      <c r="B154" s="10" t="s">
        <v>262</v>
      </c>
      <c r="C154" s="6" t="s">
        <v>20</v>
      </c>
      <c r="D154" s="6" t="s">
        <v>32</v>
      </c>
      <c r="E154" s="6" t="s">
        <v>16</v>
      </c>
      <c r="F154" s="6">
        <v>3</v>
      </c>
      <c r="G154" s="15">
        <v>7862</v>
      </c>
      <c r="H154" s="15">
        <v>692</v>
      </c>
      <c r="I154" s="15">
        <v>491</v>
      </c>
      <c r="J154" s="15">
        <v>648</v>
      </c>
      <c r="K154" s="6">
        <v>1</v>
      </c>
      <c r="L154" s="6"/>
      <c r="M154" s="6" t="s">
        <v>30</v>
      </c>
      <c r="N154" s="6">
        <v>166</v>
      </c>
      <c r="O154" s="6" t="s">
        <v>475</v>
      </c>
      <c r="P154" s="7" t="s">
        <v>249</v>
      </c>
      <c r="Q154" s="6" t="s">
        <v>249</v>
      </c>
      <c r="S154" s="14" t="str">
        <f ca="1">IFERROR(__xludf.DUMMYFUNCTION("""COMPUTED_VALUE"""),"フリアエ")</f>
        <v>フリアエ</v>
      </c>
      <c r="T154" s="14" t="str">
        <f ca="1"/>
        <v>女性</v>
      </c>
      <c r="U154" s="14">
        <f ca="1"/>
        <v>166</v>
      </c>
      <c r="V154" s="14" t="str">
        <f ca="1"/>
        <v>不明</v>
      </c>
      <c r="W154" s="8" t="str">
        <f ca="1"/>
        <v>‐</v>
      </c>
      <c r="X154" s="14" t="str">
        <f ca="1"/>
        <v>‐</v>
      </c>
      <c r="Z154" s="14" t="str">
        <v>氷</v>
      </c>
    </row>
    <row r="155" spans="1:26" ht="15.75" customHeight="1" x14ac:dyDescent="0.25">
      <c r="A155" s="11" t="s">
        <v>261</v>
      </c>
      <c r="B155" s="9" t="s">
        <v>263</v>
      </c>
      <c r="C155" s="6" t="s">
        <v>20</v>
      </c>
      <c r="D155" s="6" t="s">
        <v>21</v>
      </c>
      <c r="E155" s="6" t="s">
        <v>16</v>
      </c>
      <c r="F155" s="6">
        <v>4</v>
      </c>
      <c r="G155" s="15">
        <v>6079</v>
      </c>
      <c r="H155" s="15">
        <v>771</v>
      </c>
      <c r="I155" s="15">
        <v>635</v>
      </c>
      <c r="J155" s="15">
        <v>647</v>
      </c>
      <c r="K155" s="6">
        <v>1</v>
      </c>
      <c r="L155" s="6"/>
      <c r="M155" s="6" t="s">
        <v>30</v>
      </c>
      <c r="N155" s="6">
        <v>166</v>
      </c>
      <c r="O155" s="6" t="s">
        <v>475</v>
      </c>
      <c r="P155" s="7" t="s">
        <v>249</v>
      </c>
      <c r="Q155" s="6" t="s">
        <v>249</v>
      </c>
      <c r="S155" s="14" t="str">
        <f ca="1">IFERROR(__xludf.DUMMYFUNCTION("""COMPUTED_VALUE"""),"フリアエ")</f>
        <v>フリアエ</v>
      </c>
      <c r="T155" s="14" t="str">
        <f ca="1"/>
        <v>女性</v>
      </c>
      <c r="U155" s="14">
        <f ca="1"/>
        <v>166</v>
      </c>
      <c r="V155" s="14" t="str">
        <f ca="1"/>
        <v>不明</v>
      </c>
      <c r="W155" s="8" t="str">
        <f ca="1"/>
        <v>‐</v>
      </c>
      <c r="X155" s="14" t="str">
        <f ca="1"/>
        <v>‐</v>
      </c>
      <c r="Z155" s="14" t="str">
        <v>氷</v>
      </c>
    </row>
    <row r="156" spans="1:26" ht="15.75" customHeight="1" x14ac:dyDescent="0.25">
      <c r="A156" s="11" t="s">
        <v>264</v>
      </c>
      <c r="B156" s="5" t="s">
        <v>265</v>
      </c>
      <c r="C156" s="6" t="s">
        <v>24</v>
      </c>
      <c r="D156" s="6" t="s">
        <v>15</v>
      </c>
      <c r="E156" s="6" t="s">
        <v>62</v>
      </c>
      <c r="F156" s="6">
        <v>4</v>
      </c>
      <c r="G156" s="15">
        <v>8231</v>
      </c>
      <c r="H156" s="15">
        <v>909</v>
      </c>
      <c r="I156" s="15">
        <v>514</v>
      </c>
      <c r="J156" s="15">
        <v>491</v>
      </c>
      <c r="K156" s="6">
        <v>1</v>
      </c>
      <c r="L156" s="6" t="s">
        <v>146</v>
      </c>
      <c r="M156" s="6" t="s">
        <v>30</v>
      </c>
      <c r="N156" s="6">
        <v>150</v>
      </c>
      <c r="O156" s="6" t="s">
        <v>475</v>
      </c>
      <c r="P156" s="7" t="s">
        <v>249</v>
      </c>
      <c r="Q156" s="6" t="s">
        <v>249</v>
      </c>
      <c r="S156" s="14" t="str">
        <f ca="1">IFERROR(__xludf.DUMMYFUNCTION("""COMPUTED_VALUE"""),"アラストール")</f>
        <v>アラストール</v>
      </c>
      <c r="T156" s="14" t="str">
        <f ca="1"/>
        <v>女性</v>
      </c>
      <c r="U156" s="14">
        <f ca="1"/>
        <v>150</v>
      </c>
      <c r="V156" s="14" t="str">
        <f ca="1"/>
        <v>不明</v>
      </c>
      <c r="W156" s="8" t="str">
        <f ca="1"/>
        <v>‐</v>
      </c>
      <c r="X156" s="14" t="str">
        <f ca="1"/>
        <v>‐</v>
      </c>
      <c r="Z156" s="14" t="str">
        <v>地</v>
      </c>
    </row>
    <row r="157" spans="1:26" ht="15.75" customHeight="1" x14ac:dyDescent="0.25">
      <c r="A157" s="11" t="s">
        <v>264</v>
      </c>
      <c r="B157" s="9" t="s">
        <v>266</v>
      </c>
      <c r="C157" s="6" t="s">
        <v>20</v>
      </c>
      <c r="D157" s="6" t="s">
        <v>21</v>
      </c>
      <c r="E157" s="6" t="s">
        <v>62</v>
      </c>
      <c r="F157" s="6">
        <v>4</v>
      </c>
      <c r="G157" s="15">
        <v>9208</v>
      </c>
      <c r="H157" s="15">
        <v>776</v>
      </c>
      <c r="I157" s="15">
        <v>424</v>
      </c>
      <c r="J157" s="15">
        <v>627</v>
      </c>
      <c r="K157" s="6">
        <v>1</v>
      </c>
      <c r="L157" s="6" t="s">
        <v>146</v>
      </c>
      <c r="M157" s="6" t="s">
        <v>30</v>
      </c>
      <c r="N157" s="6">
        <v>150</v>
      </c>
      <c r="O157" s="6" t="s">
        <v>475</v>
      </c>
      <c r="P157" s="7" t="s">
        <v>249</v>
      </c>
      <c r="Q157" s="6" t="s">
        <v>249</v>
      </c>
      <c r="S157" s="14" t="str">
        <f ca="1">IFERROR(__xludf.DUMMYFUNCTION("""COMPUTED_VALUE"""),"アラストール")</f>
        <v>アラストール</v>
      </c>
      <c r="T157" s="14" t="str">
        <f ca="1"/>
        <v>女性</v>
      </c>
      <c r="U157" s="14">
        <f ca="1"/>
        <v>150</v>
      </c>
      <c r="V157" s="14" t="str">
        <f ca="1"/>
        <v>不明</v>
      </c>
      <c r="W157" s="8" t="str">
        <f ca="1"/>
        <v>‐</v>
      </c>
      <c r="X157" s="14" t="str">
        <f ca="1"/>
        <v>‐</v>
      </c>
      <c r="Z157" s="14" t="str">
        <v>地</v>
      </c>
    </row>
    <row r="158" spans="1:26" ht="15.75" customHeight="1" x14ac:dyDescent="0.25">
      <c r="A158" s="11" t="s">
        <v>267</v>
      </c>
      <c r="B158" s="9" t="s">
        <v>268</v>
      </c>
      <c r="C158" s="6" t="s">
        <v>20</v>
      </c>
      <c r="D158" s="6" t="s">
        <v>21</v>
      </c>
      <c r="E158" s="6" t="s">
        <v>16</v>
      </c>
      <c r="F158" s="6">
        <v>4</v>
      </c>
      <c r="G158" s="15">
        <v>6178</v>
      </c>
      <c r="H158" s="15">
        <v>852</v>
      </c>
      <c r="I158" s="15">
        <v>619</v>
      </c>
      <c r="J158" s="15">
        <v>621</v>
      </c>
      <c r="K158" s="6">
        <v>1</v>
      </c>
      <c r="L158" s="6"/>
      <c r="M158" s="6" t="s">
        <v>17</v>
      </c>
      <c r="N158" s="6">
        <v>177</v>
      </c>
      <c r="O158" s="6" t="s">
        <v>509</v>
      </c>
      <c r="P158" s="7" t="s">
        <v>249</v>
      </c>
      <c r="Q158" s="6" t="s">
        <v>249</v>
      </c>
      <c r="S158" s="14" t="str">
        <f ca="1">IFERROR(__xludf.DUMMYFUNCTION("""COMPUTED_VALUE"""),"ヒュトギン")</f>
        <v>ヒュトギン</v>
      </c>
      <c r="T158" s="14" t="str">
        <f ca="1"/>
        <v>男性</v>
      </c>
      <c r="U158" s="14">
        <f ca="1"/>
        <v>177</v>
      </c>
      <c r="V158" s="14" t="str">
        <f ca="1"/>
        <v>100↓</v>
      </c>
      <c r="W158" s="8" t="str">
        <f ca="1"/>
        <v>‐</v>
      </c>
      <c r="X158" s="14" t="str">
        <f ca="1"/>
        <v>‐</v>
      </c>
      <c r="Z158" s="14" t="str">
        <v>雷</v>
      </c>
    </row>
    <row r="159" spans="1:26" ht="15.75" customHeight="1" x14ac:dyDescent="0.25">
      <c r="A159" s="11" t="s">
        <v>267</v>
      </c>
      <c r="B159" s="5" t="s">
        <v>269</v>
      </c>
      <c r="C159" s="6" t="s">
        <v>24</v>
      </c>
      <c r="D159" s="6" t="s">
        <v>15</v>
      </c>
      <c r="E159" s="6" t="s">
        <v>16</v>
      </c>
      <c r="F159" s="6">
        <v>4</v>
      </c>
      <c r="G159" s="15">
        <v>7616</v>
      </c>
      <c r="H159" s="15">
        <v>784</v>
      </c>
      <c r="I159" s="15">
        <v>493</v>
      </c>
      <c r="J159" s="15">
        <v>619</v>
      </c>
      <c r="K159" s="6">
        <v>1</v>
      </c>
      <c r="L159" s="6"/>
      <c r="M159" s="6" t="s">
        <v>17</v>
      </c>
      <c r="N159" s="6">
        <v>177</v>
      </c>
      <c r="O159" s="6" t="s">
        <v>509</v>
      </c>
      <c r="P159" s="7" t="s">
        <v>249</v>
      </c>
      <c r="Q159" s="6" t="s">
        <v>249</v>
      </c>
      <c r="S159" s="14" t="str">
        <f ca="1">IFERROR(__xludf.DUMMYFUNCTION("""COMPUTED_VALUE"""),"ヒュトギン")</f>
        <v>ヒュトギン</v>
      </c>
      <c r="T159" s="14" t="str">
        <f ca="1"/>
        <v>男性</v>
      </c>
      <c r="U159" s="14">
        <f ca="1"/>
        <v>177</v>
      </c>
      <c r="V159" s="14" t="str">
        <f ca="1"/>
        <v>100↓</v>
      </c>
      <c r="W159" s="8" t="str">
        <f ca="1"/>
        <v>‐</v>
      </c>
      <c r="X159" s="14" t="str">
        <f ca="1"/>
        <v>‐</v>
      </c>
      <c r="Z159" s="14" t="str">
        <v>雷</v>
      </c>
    </row>
    <row r="160" spans="1:26" ht="15.75" customHeight="1" x14ac:dyDescent="0.25">
      <c r="A160" s="11" t="s">
        <v>270</v>
      </c>
      <c r="B160" s="10" t="s">
        <v>271</v>
      </c>
      <c r="C160" s="6" t="s">
        <v>20</v>
      </c>
      <c r="D160" s="6" t="s">
        <v>32</v>
      </c>
      <c r="E160" s="6" t="s">
        <v>62</v>
      </c>
      <c r="F160" s="6">
        <v>2</v>
      </c>
      <c r="G160" s="15">
        <v>7008</v>
      </c>
      <c r="H160" s="15">
        <v>1101</v>
      </c>
      <c r="I160" s="15">
        <v>440</v>
      </c>
      <c r="J160" s="15">
        <v>528</v>
      </c>
      <c r="K160" s="6">
        <v>1</v>
      </c>
      <c r="L160" s="6"/>
      <c r="M160" s="6" t="s">
        <v>17</v>
      </c>
      <c r="N160" s="6">
        <v>177</v>
      </c>
      <c r="O160" s="6" t="s">
        <v>475</v>
      </c>
      <c r="P160" s="7" t="s">
        <v>249</v>
      </c>
      <c r="Q160" s="6" t="s">
        <v>249</v>
      </c>
      <c r="S160" s="14" t="str">
        <f ca="1">IFERROR(__xludf.DUMMYFUNCTION("""COMPUTED_VALUE"""),"ロキ")</f>
        <v>ロキ</v>
      </c>
      <c r="T160" s="14" t="str">
        <f ca="1"/>
        <v>男性</v>
      </c>
      <c r="U160" s="14">
        <f ca="1"/>
        <v>177</v>
      </c>
      <c r="V160" s="14" t="str">
        <f ca="1"/>
        <v>不明</v>
      </c>
      <c r="W160" s="8" t="str">
        <f ca="1"/>
        <v>‐</v>
      </c>
      <c r="X160" s="14" t="str">
        <f ca="1"/>
        <v>‐</v>
      </c>
      <c r="Z160" s="14" t="str">
        <v>火</v>
      </c>
    </row>
    <row r="161" spans="1:26" ht="15.75" customHeight="1" x14ac:dyDescent="0.25">
      <c r="A161" s="11" t="s">
        <v>270</v>
      </c>
      <c r="B161" s="9" t="s">
        <v>272</v>
      </c>
      <c r="C161" s="6" t="s">
        <v>24</v>
      </c>
      <c r="D161" s="6" t="s">
        <v>21</v>
      </c>
      <c r="E161" s="6" t="s">
        <v>62</v>
      </c>
      <c r="F161" s="6">
        <v>4</v>
      </c>
      <c r="G161" s="15">
        <v>7010</v>
      </c>
      <c r="H161" s="15">
        <v>1101</v>
      </c>
      <c r="I161" s="15">
        <v>451</v>
      </c>
      <c r="J161" s="15">
        <v>517</v>
      </c>
      <c r="K161" s="6">
        <v>1</v>
      </c>
      <c r="L161" s="6"/>
      <c r="M161" s="6" t="s">
        <v>17</v>
      </c>
      <c r="N161" s="6">
        <v>177</v>
      </c>
      <c r="O161" s="6" t="s">
        <v>475</v>
      </c>
      <c r="P161" s="7" t="s">
        <v>249</v>
      </c>
      <c r="Q161" s="6" t="s">
        <v>249</v>
      </c>
      <c r="S161" s="14" t="str">
        <f ca="1">IFERROR(__xludf.DUMMYFUNCTION("""COMPUTED_VALUE"""),"ロキ")</f>
        <v>ロキ</v>
      </c>
      <c r="T161" s="14" t="str">
        <f ca="1"/>
        <v>男性</v>
      </c>
      <c r="U161" s="14">
        <f ca="1"/>
        <v>177</v>
      </c>
      <c r="V161" s="14" t="str">
        <f ca="1"/>
        <v>不明</v>
      </c>
      <c r="W161" s="8" t="str">
        <f ca="1"/>
        <v>‐</v>
      </c>
      <c r="X161" s="14" t="str">
        <f ca="1"/>
        <v>‐</v>
      </c>
      <c r="Z161" s="14" t="str">
        <v>火</v>
      </c>
    </row>
    <row r="162" spans="1:26" ht="15.75" customHeight="1" x14ac:dyDescent="0.25">
      <c r="A162" s="11" t="s">
        <v>273</v>
      </c>
      <c r="B162" s="9" t="s">
        <v>274</v>
      </c>
      <c r="C162" s="6" t="s">
        <v>20</v>
      </c>
      <c r="D162" s="6" t="s">
        <v>21</v>
      </c>
      <c r="E162" s="6" t="s">
        <v>29</v>
      </c>
      <c r="F162" s="6">
        <v>4</v>
      </c>
      <c r="G162" s="15">
        <v>8527</v>
      </c>
      <c r="H162" s="15">
        <v>1370</v>
      </c>
      <c r="I162" s="15">
        <v>302</v>
      </c>
      <c r="J162" s="15">
        <v>449</v>
      </c>
      <c r="K162" s="6">
        <v>1</v>
      </c>
      <c r="L162" s="6"/>
      <c r="M162" s="6" t="s">
        <v>17</v>
      </c>
      <c r="N162" s="6">
        <v>164</v>
      </c>
      <c r="O162" s="6" t="s">
        <v>475</v>
      </c>
      <c r="P162" s="7" t="s">
        <v>249</v>
      </c>
      <c r="Q162" s="6" t="s">
        <v>249</v>
      </c>
      <c r="S162" s="14" t="str">
        <f ca="1">IFERROR(__xludf.DUMMYFUNCTION("""COMPUTED_VALUE"""),"インキュバス")</f>
        <v>インキュバス</v>
      </c>
      <c r="T162" s="14" t="str">
        <f ca="1"/>
        <v>男性</v>
      </c>
      <c r="U162" s="14">
        <f ca="1"/>
        <v>164</v>
      </c>
      <c r="V162" s="14" t="str">
        <f ca="1"/>
        <v>不明</v>
      </c>
      <c r="W162" s="8" t="str">
        <f ca="1"/>
        <v>‐</v>
      </c>
      <c r="X162" s="14" t="str">
        <f ca="1"/>
        <v>‐</v>
      </c>
      <c r="Z162" s="14" t="str">
        <v>水</v>
      </c>
    </row>
    <row r="163" spans="1:26" ht="15.75" customHeight="1" x14ac:dyDescent="0.25">
      <c r="A163" s="11" t="s">
        <v>273</v>
      </c>
      <c r="B163" s="10" t="s">
        <v>275</v>
      </c>
      <c r="C163" s="6" t="s">
        <v>20</v>
      </c>
      <c r="D163" s="6" t="s">
        <v>32</v>
      </c>
      <c r="E163" s="6" t="s">
        <v>29</v>
      </c>
      <c r="F163" s="6">
        <v>4</v>
      </c>
      <c r="G163" s="15">
        <v>6209</v>
      </c>
      <c r="H163" s="15">
        <v>1177</v>
      </c>
      <c r="I163" s="15">
        <v>489</v>
      </c>
      <c r="J163" s="15">
        <v>497</v>
      </c>
      <c r="K163" s="6">
        <v>1</v>
      </c>
      <c r="L163" s="6"/>
      <c r="M163" s="6" t="s">
        <v>17</v>
      </c>
      <c r="N163" s="6">
        <v>164</v>
      </c>
      <c r="O163" s="6" t="s">
        <v>475</v>
      </c>
      <c r="P163" s="7" t="s">
        <v>249</v>
      </c>
      <c r="Q163" s="6" t="s">
        <v>249</v>
      </c>
      <c r="S163" s="14" t="str">
        <f ca="1">IFERROR(__xludf.DUMMYFUNCTION("""COMPUTED_VALUE"""),"インキュバス")</f>
        <v>インキュバス</v>
      </c>
      <c r="T163" s="14" t="str">
        <f ca="1"/>
        <v>男性</v>
      </c>
      <c r="U163" s="14">
        <f ca="1"/>
        <v>164</v>
      </c>
      <c r="V163" s="14" t="str">
        <f ca="1"/>
        <v>不明</v>
      </c>
      <c r="W163" s="8" t="str">
        <f ca="1"/>
        <v>‐</v>
      </c>
      <c r="X163" s="14" t="str">
        <f ca="1"/>
        <v>‐</v>
      </c>
      <c r="Z163" s="14" t="str">
        <v>水</v>
      </c>
    </row>
    <row r="164" spans="1:26" ht="15.75" customHeight="1" x14ac:dyDescent="0.25">
      <c r="A164" s="11" t="s">
        <v>276</v>
      </c>
      <c r="B164" s="10" t="s">
        <v>277</v>
      </c>
      <c r="C164" s="6" t="s">
        <v>20</v>
      </c>
      <c r="D164" s="6" t="s">
        <v>32</v>
      </c>
      <c r="E164" s="6" t="s">
        <v>16</v>
      </c>
      <c r="F164" s="6">
        <v>2</v>
      </c>
      <c r="G164" s="15">
        <v>7705</v>
      </c>
      <c r="H164" s="15">
        <v>726</v>
      </c>
      <c r="I164" s="15">
        <v>473</v>
      </c>
      <c r="J164" s="15">
        <v>655</v>
      </c>
      <c r="K164" s="6">
        <v>1</v>
      </c>
      <c r="L164" s="6"/>
      <c r="M164" s="6" t="s">
        <v>30</v>
      </c>
      <c r="N164" s="6">
        <v>150</v>
      </c>
      <c r="O164" s="6" t="s">
        <v>475</v>
      </c>
      <c r="P164" s="7" t="s">
        <v>249</v>
      </c>
      <c r="Q164" s="6" t="s">
        <v>249</v>
      </c>
      <c r="S164" s="14" t="str">
        <f ca="1">IFERROR(__xludf.DUMMYFUNCTION("""COMPUTED_VALUE"""),"グリマルキン")</f>
        <v>グリマルキン</v>
      </c>
      <c r="T164" s="14" t="str">
        <f ca="1"/>
        <v>女性</v>
      </c>
      <c r="U164" s="14">
        <f ca="1"/>
        <v>150</v>
      </c>
      <c r="V164" s="14" t="str">
        <f ca="1"/>
        <v>不明</v>
      </c>
      <c r="W164" s="8" t="str">
        <f ca="1"/>
        <v>‐</v>
      </c>
      <c r="X164" s="14" t="str">
        <f ca="1"/>
        <v>‐</v>
      </c>
      <c r="Z164" s="14" t="str">
        <v>雷</v>
      </c>
    </row>
    <row r="165" spans="1:26" ht="15.75" customHeight="1" x14ac:dyDescent="0.25">
      <c r="A165" s="11" t="s">
        <v>276</v>
      </c>
      <c r="B165" s="9" t="s">
        <v>278</v>
      </c>
      <c r="C165" s="6" t="s">
        <v>20</v>
      </c>
      <c r="D165" s="6" t="s">
        <v>21</v>
      </c>
      <c r="E165" s="6" t="s">
        <v>16</v>
      </c>
      <c r="F165" s="6">
        <v>4</v>
      </c>
      <c r="G165" s="15">
        <v>7347</v>
      </c>
      <c r="H165" s="15">
        <v>859</v>
      </c>
      <c r="I165" s="15">
        <v>483</v>
      </c>
      <c r="J165" s="15">
        <v>652</v>
      </c>
      <c r="K165" s="6">
        <v>1</v>
      </c>
      <c r="L165" s="6"/>
      <c r="M165" s="6" t="s">
        <v>30</v>
      </c>
      <c r="N165" s="6">
        <v>150</v>
      </c>
      <c r="O165" s="6" t="s">
        <v>475</v>
      </c>
      <c r="P165" s="7" t="s">
        <v>249</v>
      </c>
      <c r="Q165" s="6" t="s">
        <v>249</v>
      </c>
      <c r="S165" s="14" t="str">
        <f ca="1">IFERROR(__xludf.DUMMYFUNCTION("""COMPUTED_VALUE"""),"グリマルキン")</f>
        <v>グリマルキン</v>
      </c>
      <c r="T165" s="14" t="str">
        <f ca="1"/>
        <v>女性</v>
      </c>
      <c r="U165" s="14">
        <f ca="1"/>
        <v>150</v>
      </c>
      <c r="V165" s="14" t="str">
        <f ca="1"/>
        <v>不明</v>
      </c>
      <c r="W165" s="8" t="str">
        <f ca="1"/>
        <v>‐</v>
      </c>
      <c r="X165" s="14" t="str">
        <f ca="1"/>
        <v>‐</v>
      </c>
      <c r="Z165" s="14" t="str">
        <v>雷</v>
      </c>
    </row>
    <row r="166" spans="1:26" ht="15.75" customHeight="1" x14ac:dyDescent="0.25">
      <c r="A166" s="11" t="s">
        <v>279</v>
      </c>
      <c r="B166" s="10" t="s">
        <v>280</v>
      </c>
      <c r="C166" s="6" t="s">
        <v>20</v>
      </c>
      <c r="D166" s="6" t="s">
        <v>32</v>
      </c>
      <c r="E166" s="6" t="s">
        <v>29</v>
      </c>
      <c r="F166" s="6">
        <v>3</v>
      </c>
      <c r="G166" s="15">
        <v>7104</v>
      </c>
      <c r="H166" s="15">
        <v>986</v>
      </c>
      <c r="I166" s="15">
        <v>480</v>
      </c>
      <c r="J166" s="15">
        <v>502</v>
      </c>
      <c r="K166" s="6">
        <v>1</v>
      </c>
      <c r="L166" s="6"/>
      <c r="M166" s="6" t="s">
        <v>30</v>
      </c>
      <c r="N166" s="6">
        <v>123</v>
      </c>
      <c r="O166" s="6" t="s">
        <v>475</v>
      </c>
      <c r="P166" s="7" t="s">
        <v>249</v>
      </c>
      <c r="Q166" s="6" t="s">
        <v>249</v>
      </c>
      <c r="S166" s="14" t="str">
        <f ca="1">IFERROR(__xludf.DUMMYFUNCTION("""COMPUTED_VALUE"""),"コルソン")</f>
        <v>コルソン</v>
      </c>
      <c r="T166" s="14" t="str">
        <f ca="1"/>
        <v>女性</v>
      </c>
      <c r="U166" s="14">
        <f ca="1"/>
        <v>123</v>
      </c>
      <c r="V166" s="14" t="str">
        <f ca="1"/>
        <v>不明</v>
      </c>
      <c r="W166" s="8" t="str">
        <f ca="1"/>
        <v>‐</v>
      </c>
      <c r="X166" s="14" t="str">
        <f ca="1"/>
        <v>‐</v>
      </c>
      <c r="Z166" s="14" t="str">
        <v>風</v>
      </c>
    </row>
    <row r="167" spans="1:26" ht="15.75" customHeight="1" x14ac:dyDescent="0.25">
      <c r="A167" s="11" t="s">
        <v>279</v>
      </c>
      <c r="B167" s="9" t="s">
        <v>281</v>
      </c>
      <c r="C167" s="6" t="s">
        <v>20</v>
      </c>
      <c r="D167" s="6" t="s">
        <v>21</v>
      </c>
      <c r="E167" s="6" t="s">
        <v>29</v>
      </c>
      <c r="F167" s="6">
        <v>4</v>
      </c>
      <c r="G167" s="15">
        <v>8949</v>
      </c>
      <c r="H167" s="15">
        <v>788</v>
      </c>
      <c r="I167" s="15">
        <v>416</v>
      </c>
      <c r="J167" s="15">
        <v>563</v>
      </c>
      <c r="K167" s="6">
        <v>1</v>
      </c>
      <c r="L167" s="6"/>
      <c r="M167" s="6" t="s">
        <v>30</v>
      </c>
      <c r="N167" s="6">
        <v>123</v>
      </c>
      <c r="O167" s="6" t="s">
        <v>475</v>
      </c>
      <c r="P167" s="7" t="s">
        <v>249</v>
      </c>
      <c r="Q167" s="6" t="s">
        <v>249</v>
      </c>
      <c r="S167" s="14" t="str">
        <f ca="1">IFERROR(__xludf.DUMMYFUNCTION("""COMPUTED_VALUE"""),"コルソン")</f>
        <v>コルソン</v>
      </c>
      <c r="T167" s="14" t="str">
        <f ca="1"/>
        <v>女性</v>
      </c>
      <c r="U167" s="14">
        <f ca="1"/>
        <v>123</v>
      </c>
      <c r="V167" s="14" t="str">
        <f ca="1"/>
        <v>不明</v>
      </c>
      <c r="W167" s="8" t="str">
        <f ca="1"/>
        <v>‐</v>
      </c>
      <c r="X167" s="14" t="str">
        <f ca="1"/>
        <v>‐</v>
      </c>
      <c r="Z167" s="14" t="str">
        <v>風</v>
      </c>
    </row>
    <row r="168" spans="1:26" ht="15.75" customHeight="1" x14ac:dyDescent="0.25">
      <c r="A168" s="11" t="s">
        <v>282</v>
      </c>
      <c r="B168" s="10" t="s">
        <v>283</v>
      </c>
      <c r="C168" s="6" t="s">
        <v>20</v>
      </c>
      <c r="D168" s="6" t="s">
        <v>32</v>
      </c>
      <c r="E168" s="6" t="s">
        <v>62</v>
      </c>
      <c r="F168" s="6">
        <v>3</v>
      </c>
      <c r="G168" s="15">
        <v>7978</v>
      </c>
      <c r="H168" s="15">
        <v>730</v>
      </c>
      <c r="I168" s="15">
        <v>611</v>
      </c>
      <c r="J168" s="15">
        <v>498</v>
      </c>
      <c r="K168" s="6">
        <v>1</v>
      </c>
      <c r="L168" s="6"/>
      <c r="M168" s="6" t="s">
        <v>30</v>
      </c>
      <c r="N168" s="6">
        <v>182</v>
      </c>
      <c r="O168" s="6" t="s">
        <v>475</v>
      </c>
      <c r="P168" s="7" t="s">
        <v>249</v>
      </c>
      <c r="Q168" s="6" t="s">
        <v>249</v>
      </c>
      <c r="S168" s="14" t="str">
        <f ca="1">IFERROR(__xludf.DUMMYFUNCTION("""COMPUTED_VALUE"""),"ジニマル")</f>
        <v>ジニマル</v>
      </c>
      <c r="T168" s="14" t="str">
        <f ca="1"/>
        <v>女性</v>
      </c>
      <c r="U168" s="14">
        <f ca="1"/>
        <v>182</v>
      </c>
      <c r="V168" s="14" t="str">
        <f ca="1"/>
        <v>不明</v>
      </c>
      <c r="W168" s="8" t="str">
        <f ca="1"/>
        <v>‐</v>
      </c>
      <c r="X168" s="14" t="str">
        <f ca="1"/>
        <v>‐</v>
      </c>
      <c r="Z168" s="14" t="str">
        <v>水</v>
      </c>
    </row>
    <row r="169" spans="1:26" ht="15.75" customHeight="1" x14ac:dyDescent="0.25">
      <c r="A169" s="11" t="s">
        <v>282</v>
      </c>
      <c r="B169" s="9" t="s">
        <v>284</v>
      </c>
      <c r="C169" s="6" t="s">
        <v>24</v>
      </c>
      <c r="D169" s="6" t="s">
        <v>21</v>
      </c>
      <c r="E169" s="6" t="s">
        <v>62</v>
      </c>
      <c r="F169" s="6">
        <v>4</v>
      </c>
      <c r="G169" s="15">
        <v>5904</v>
      </c>
      <c r="H169" s="15">
        <v>859</v>
      </c>
      <c r="I169" s="15">
        <v>612</v>
      </c>
      <c r="J169" s="15">
        <v>538</v>
      </c>
      <c r="K169" s="6">
        <v>1</v>
      </c>
      <c r="L169" s="6"/>
      <c r="M169" s="6" t="s">
        <v>30</v>
      </c>
      <c r="N169" s="6">
        <v>182</v>
      </c>
      <c r="O169" s="6" t="s">
        <v>475</v>
      </c>
      <c r="P169" s="7" t="s">
        <v>249</v>
      </c>
      <c r="Q169" s="6" t="s">
        <v>249</v>
      </c>
      <c r="S169" s="14" t="str">
        <f ca="1">IFERROR(__xludf.DUMMYFUNCTION("""COMPUTED_VALUE"""),"ジニマル")</f>
        <v>ジニマル</v>
      </c>
      <c r="T169" s="14" t="str">
        <f ca="1"/>
        <v>女性</v>
      </c>
      <c r="U169" s="14">
        <f ca="1"/>
        <v>182</v>
      </c>
      <c r="V169" s="14" t="str">
        <f ca="1"/>
        <v>不明</v>
      </c>
      <c r="W169" s="8" t="str">
        <f ca="1"/>
        <v>‐</v>
      </c>
      <c r="X169" s="14" t="str">
        <f ca="1"/>
        <v>‐</v>
      </c>
      <c r="Z169" s="14" t="str">
        <v>水</v>
      </c>
    </row>
    <row r="170" spans="1:26" ht="15.75" customHeight="1" x14ac:dyDescent="0.25">
      <c r="A170" s="11" t="s">
        <v>285</v>
      </c>
      <c r="B170" s="10" t="s">
        <v>286</v>
      </c>
      <c r="C170" s="6" t="s">
        <v>20</v>
      </c>
      <c r="D170" s="6" t="s">
        <v>32</v>
      </c>
      <c r="E170" s="6" t="s">
        <v>16</v>
      </c>
      <c r="F170" s="6">
        <v>3</v>
      </c>
      <c r="G170" s="15">
        <v>6898</v>
      </c>
      <c r="H170" s="15">
        <v>1180</v>
      </c>
      <c r="I170" s="15">
        <v>369</v>
      </c>
      <c r="J170" s="15">
        <v>645</v>
      </c>
      <c r="K170" s="6">
        <v>1</v>
      </c>
      <c r="L170" s="6"/>
      <c r="M170" s="6" t="s">
        <v>30</v>
      </c>
      <c r="N170" s="6">
        <v>163</v>
      </c>
      <c r="O170" s="6" t="s">
        <v>475</v>
      </c>
      <c r="P170" s="7" t="s">
        <v>249</v>
      </c>
      <c r="Q170" s="6" t="s">
        <v>249</v>
      </c>
      <c r="S170" s="14" t="str">
        <f ca="1">IFERROR(__xludf.DUMMYFUNCTION("""COMPUTED_VALUE"""),"バフォメット")</f>
        <v>バフォメット</v>
      </c>
      <c r="T170" s="14" t="str">
        <f ca="1"/>
        <v>女性</v>
      </c>
      <c r="U170" s="14">
        <f ca="1"/>
        <v>163</v>
      </c>
      <c r="V170" s="14" t="str">
        <f ca="1"/>
        <v>不明</v>
      </c>
      <c r="W170" s="8" t="str">
        <f ca="1"/>
        <v>‐</v>
      </c>
      <c r="X170" s="14" t="str">
        <f ca="1"/>
        <v>‐</v>
      </c>
      <c r="Z170" s="14" t="str">
        <v>水</v>
      </c>
    </row>
    <row r="171" spans="1:26" ht="15.75" customHeight="1" x14ac:dyDescent="0.25">
      <c r="A171" s="11" t="s">
        <v>287</v>
      </c>
      <c r="B171" s="5" t="s">
        <v>288</v>
      </c>
      <c r="C171" s="6" t="s">
        <v>20</v>
      </c>
      <c r="D171" s="6" t="s">
        <v>15</v>
      </c>
      <c r="E171" s="6" t="s">
        <v>29</v>
      </c>
      <c r="F171" s="6">
        <v>4</v>
      </c>
      <c r="G171" s="15">
        <v>8769</v>
      </c>
      <c r="H171" s="15">
        <v>438</v>
      </c>
      <c r="I171" s="15">
        <v>509</v>
      </c>
      <c r="J171" s="15">
        <v>686</v>
      </c>
      <c r="K171" s="6">
        <v>1</v>
      </c>
      <c r="L171" s="6"/>
      <c r="M171" s="6" t="s">
        <v>30</v>
      </c>
      <c r="N171" s="6">
        <v>165</v>
      </c>
      <c r="O171" s="6" t="s">
        <v>475</v>
      </c>
      <c r="P171" s="7">
        <v>45017</v>
      </c>
      <c r="Q171" s="6" t="s">
        <v>483</v>
      </c>
      <c r="S171" s="14" t="str">
        <f ca="1">IFERROR(__xludf.DUMMYFUNCTION("""COMPUTED_VALUE"""),"サラ")</f>
        <v>サラ</v>
      </c>
      <c r="T171" s="14" t="str">
        <f ca="1"/>
        <v>女性</v>
      </c>
      <c r="U171" s="14">
        <f ca="1"/>
        <v>165</v>
      </c>
      <c r="V171" s="14" t="str">
        <f ca="1"/>
        <v>不明</v>
      </c>
      <c r="W171" s="8">
        <f ca="1"/>
        <v>45017</v>
      </c>
      <c r="X171" s="14" t="str">
        <f ca="1"/>
        <v>（本名）</v>
      </c>
      <c r="Z171" s="14" t="str">
        <v>火</v>
      </c>
    </row>
    <row r="172" spans="1:26" ht="15.75" customHeight="1" x14ac:dyDescent="0.25">
      <c r="A172" s="11" t="s">
        <v>287</v>
      </c>
      <c r="B172" s="10" t="s">
        <v>289</v>
      </c>
      <c r="C172" s="6" t="s">
        <v>20</v>
      </c>
      <c r="D172" s="6" t="s">
        <v>32</v>
      </c>
      <c r="E172" s="6" t="s">
        <v>29</v>
      </c>
      <c r="F172" s="6">
        <v>4</v>
      </c>
      <c r="G172" s="15">
        <v>9190</v>
      </c>
      <c r="H172" s="15">
        <v>638</v>
      </c>
      <c r="I172" s="15">
        <v>615</v>
      </c>
      <c r="J172" s="15">
        <v>503</v>
      </c>
      <c r="K172" s="6">
        <v>1</v>
      </c>
      <c r="L172" s="6"/>
      <c r="M172" s="6" t="s">
        <v>30</v>
      </c>
      <c r="N172" s="6">
        <v>165</v>
      </c>
      <c r="O172" s="6" t="s">
        <v>475</v>
      </c>
      <c r="P172" s="7">
        <v>45017</v>
      </c>
      <c r="Q172" s="6" t="s">
        <v>483</v>
      </c>
      <c r="S172" s="14" t="str">
        <f ca="1">IFERROR(__xludf.DUMMYFUNCTION("""COMPUTED_VALUE"""),"サラ")</f>
        <v>サラ</v>
      </c>
      <c r="T172" s="14" t="str">
        <f ca="1"/>
        <v>女性</v>
      </c>
      <c r="U172" s="14">
        <f ca="1"/>
        <v>165</v>
      </c>
      <c r="V172" s="14" t="str">
        <f ca="1"/>
        <v>不明</v>
      </c>
      <c r="W172" s="8">
        <f ca="1"/>
        <v>45017</v>
      </c>
      <c r="X172" s="14" t="str">
        <f ca="1"/>
        <v>（本名）</v>
      </c>
      <c r="Z172" s="14" t="str">
        <v>火</v>
      </c>
    </row>
    <row r="173" spans="1:26" ht="15.75" customHeight="1" x14ac:dyDescent="0.25">
      <c r="A173" s="11" t="s">
        <v>290</v>
      </c>
      <c r="B173" s="5" t="s">
        <v>291</v>
      </c>
      <c r="C173" s="6" t="s">
        <v>20</v>
      </c>
      <c r="D173" s="6" t="s">
        <v>15</v>
      </c>
      <c r="E173" s="6" t="s">
        <v>16</v>
      </c>
      <c r="F173" s="6">
        <v>5</v>
      </c>
      <c r="G173" s="15">
        <v>8986</v>
      </c>
      <c r="H173" s="15">
        <v>815</v>
      </c>
      <c r="I173" s="15">
        <v>475</v>
      </c>
      <c r="J173" s="15">
        <v>537</v>
      </c>
      <c r="K173" s="6">
        <v>1</v>
      </c>
      <c r="L173" s="6"/>
      <c r="M173" s="6" t="s">
        <v>17</v>
      </c>
      <c r="N173" s="6">
        <v>190</v>
      </c>
      <c r="O173" s="6" t="s">
        <v>475</v>
      </c>
      <c r="P173" s="7" t="s">
        <v>249</v>
      </c>
      <c r="Q173" s="6" t="s">
        <v>249</v>
      </c>
      <c r="S173" s="14" t="str">
        <f ca="1">IFERROR(__xludf.DUMMYFUNCTION("""COMPUTED_VALUE"""),"サタナキア")</f>
        <v>サタナキア</v>
      </c>
      <c r="T173" s="14" t="str">
        <f ca="1"/>
        <v>男性</v>
      </c>
      <c r="U173" s="14">
        <f ca="1"/>
        <v>190</v>
      </c>
      <c r="V173" s="14" t="str">
        <f ca="1"/>
        <v>不明</v>
      </c>
      <c r="W173" s="8" t="str">
        <f ca="1"/>
        <v>‐</v>
      </c>
      <c r="X173" s="14" t="str">
        <f ca="1"/>
        <v>‐</v>
      </c>
      <c r="Z173" s="14" t="str">
        <v>風</v>
      </c>
    </row>
    <row r="174" spans="1:26" ht="15.75" customHeight="1" x14ac:dyDescent="0.25">
      <c r="A174" s="11" t="s">
        <v>290</v>
      </c>
      <c r="B174" s="10" t="s">
        <v>292</v>
      </c>
      <c r="C174" s="6" t="s">
        <v>20</v>
      </c>
      <c r="D174" s="6" t="s">
        <v>32</v>
      </c>
      <c r="E174" s="6" t="s">
        <v>16</v>
      </c>
      <c r="F174" s="6">
        <v>3</v>
      </c>
      <c r="G174" s="15">
        <v>8818</v>
      </c>
      <c r="H174" s="15">
        <v>624</v>
      </c>
      <c r="I174" s="15">
        <v>646</v>
      </c>
      <c r="J174" s="15">
        <v>505</v>
      </c>
      <c r="K174" s="6">
        <v>1</v>
      </c>
      <c r="L174" s="6"/>
      <c r="M174" s="6" t="s">
        <v>17</v>
      </c>
      <c r="N174" s="6">
        <v>190</v>
      </c>
      <c r="O174" s="6" t="s">
        <v>475</v>
      </c>
      <c r="P174" s="7" t="s">
        <v>249</v>
      </c>
      <c r="Q174" s="6" t="s">
        <v>249</v>
      </c>
      <c r="S174" s="14" t="str">
        <f ca="1">IFERROR(__xludf.DUMMYFUNCTION("""COMPUTED_VALUE"""),"サタナキア")</f>
        <v>サタナキア</v>
      </c>
      <c r="T174" s="14" t="str">
        <f ca="1"/>
        <v>男性</v>
      </c>
      <c r="U174" s="14">
        <f ca="1"/>
        <v>190</v>
      </c>
      <c r="V174" s="14" t="str">
        <f ca="1"/>
        <v>不明</v>
      </c>
      <c r="W174" s="8" t="str">
        <f ca="1"/>
        <v>‐</v>
      </c>
      <c r="X174" s="14" t="str">
        <f ca="1"/>
        <v>‐</v>
      </c>
      <c r="Z174" s="14" t="str">
        <v>風</v>
      </c>
    </row>
    <row r="175" spans="1:26" ht="15.75" customHeight="1" x14ac:dyDescent="0.25">
      <c r="A175" s="11" t="s">
        <v>293</v>
      </c>
      <c r="B175" s="9" t="s">
        <v>294</v>
      </c>
      <c r="C175" s="6" t="s">
        <v>20</v>
      </c>
      <c r="D175" s="6" t="s">
        <v>21</v>
      </c>
      <c r="E175" s="6" t="s">
        <v>62</v>
      </c>
      <c r="F175" s="6">
        <v>5</v>
      </c>
      <c r="G175" s="15">
        <v>7120</v>
      </c>
      <c r="H175" s="15">
        <v>1215</v>
      </c>
      <c r="I175" s="15">
        <v>424</v>
      </c>
      <c r="J175" s="15">
        <v>458</v>
      </c>
      <c r="K175" s="6">
        <v>1</v>
      </c>
      <c r="L175" s="6"/>
      <c r="M175" s="6" t="s">
        <v>17</v>
      </c>
      <c r="N175" s="6">
        <v>175</v>
      </c>
      <c r="O175" s="6" t="s">
        <v>475</v>
      </c>
      <c r="P175" s="7" t="s">
        <v>249</v>
      </c>
      <c r="Q175" s="6" t="s">
        <v>249</v>
      </c>
      <c r="S175" s="14" t="str">
        <f ca="1">IFERROR(__xludf.DUMMYFUNCTION("""COMPUTED_VALUE"""),"タナトス")</f>
        <v>タナトス</v>
      </c>
      <c r="T175" s="14" t="str">
        <f ca="1"/>
        <v>男性</v>
      </c>
      <c r="U175" s="14">
        <f ca="1"/>
        <v>175</v>
      </c>
      <c r="V175" s="14" t="str">
        <f ca="1"/>
        <v>不明</v>
      </c>
      <c r="W175" s="8" t="str">
        <f ca="1"/>
        <v>‐</v>
      </c>
      <c r="X175" s="14" t="str">
        <f ca="1"/>
        <v>‐</v>
      </c>
      <c r="Z175" s="14" t="str">
        <v>地</v>
      </c>
    </row>
    <row r="176" spans="1:26" ht="15.75" customHeight="1" x14ac:dyDescent="0.25">
      <c r="A176" s="11" t="s">
        <v>295</v>
      </c>
      <c r="B176" s="10" t="s">
        <v>296</v>
      </c>
      <c r="C176" s="6" t="s">
        <v>20</v>
      </c>
      <c r="D176" s="6" t="s">
        <v>32</v>
      </c>
      <c r="E176" s="6" t="s">
        <v>29</v>
      </c>
      <c r="F176" s="6">
        <v>3</v>
      </c>
      <c r="G176" s="15">
        <v>6845</v>
      </c>
      <c r="H176" s="15">
        <v>1176</v>
      </c>
      <c r="I176" s="15">
        <v>302</v>
      </c>
      <c r="J176" s="15">
        <v>646</v>
      </c>
      <c r="K176" s="6">
        <v>1</v>
      </c>
      <c r="L176" s="6"/>
      <c r="M176" s="6" t="s">
        <v>30</v>
      </c>
      <c r="N176" s="6">
        <v>160</v>
      </c>
      <c r="O176" s="6" t="s">
        <v>475</v>
      </c>
      <c r="P176" s="7" t="s">
        <v>249</v>
      </c>
      <c r="Q176" s="6" t="s">
        <v>249</v>
      </c>
      <c r="S176" s="14" t="str">
        <f ca="1">IFERROR(__xludf.DUMMYFUNCTION("""COMPUTED_VALUE"""),"ティアマト")</f>
        <v>ティアマト</v>
      </c>
      <c r="T176" s="14" t="str">
        <f ca="1"/>
        <v>女性</v>
      </c>
      <c r="U176" s="14">
        <f ca="1"/>
        <v>160</v>
      </c>
      <c r="V176" s="14" t="str">
        <f ca="1"/>
        <v>不明</v>
      </c>
      <c r="W176" s="8" t="str">
        <f ca="1"/>
        <v>‐</v>
      </c>
      <c r="X176" s="14" t="str">
        <f ca="1"/>
        <v>‐</v>
      </c>
      <c r="Z176" s="14" t="str">
        <v>？</v>
      </c>
    </row>
    <row r="177" spans="1:26" ht="15.75" customHeight="1" x14ac:dyDescent="0.25">
      <c r="A177" s="11" t="s">
        <v>295</v>
      </c>
      <c r="B177" s="9" t="s">
        <v>298</v>
      </c>
      <c r="C177" s="6" t="s">
        <v>20</v>
      </c>
      <c r="D177" s="6" t="s">
        <v>21</v>
      </c>
      <c r="E177" s="6" t="s">
        <v>29</v>
      </c>
      <c r="F177" s="6">
        <v>4</v>
      </c>
      <c r="G177" s="15">
        <v>7349</v>
      </c>
      <c r="H177" s="15">
        <v>1155</v>
      </c>
      <c r="I177" s="15">
        <v>621</v>
      </c>
      <c r="J177" s="15">
        <v>280</v>
      </c>
      <c r="K177" s="6">
        <v>1</v>
      </c>
      <c r="L177" s="6"/>
      <c r="M177" s="6" t="s">
        <v>30</v>
      </c>
      <c r="N177" s="6">
        <v>160</v>
      </c>
      <c r="O177" s="6" t="s">
        <v>475</v>
      </c>
      <c r="P177" s="7" t="s">
        <v>249</v>
      </c>
      <c r="Q177" s="6" t="s">
        <v>249</v>
      </c>
      <c r="S177" s="14" t="str">
        <f ca="1">IFERROR(__xludf.DUMMYFUNCTION("""COMPUTED_VALUE"""),"ティアマト")</f>
        <v>ティアマト</v>
      </c>
      <c r="T177" s="14" t="str">
        <f ca="1"/>
        <v>女性</v>
      </c>
      <c r="U177" s="14">
        <f ca="1"/>
        <v>160</v>
      </c>
      <c r="V177" s="14" t="str">
        <f ca="1"/>
        <v>不明</v>
      </c>
      <c r="W177" s="8" t="str">
        <f ca="1"/>
        <v>‐</v>
      </c>
      <c r="X177" s="14" t="str">
        <f ca="1"/>
        <v>‐</v>
      </c>
      <c r="Z177" s="14" t="str">
        <v>水</v>
      </c>
    </row>
    <row r="178" spans="1:26" ht="15.75" customHeight="1" x14ac:dyDescent="0.25">
      <c r="A178" s="11" t="s">
        <v>299</v>
      </c>
      <c r="B178" s="5" t="s">
        <v>300</v>
      </c>
      <c r="C178" s="6" t="s">
        <v>24</v>
      </c>
      <c r="D178" s="6" t="s">
        <v>15</v>
      </c>
      <c r="E178" s="6" t="s">
        <v>29</v>
      </c>
      <c r="F178" s="6">
        <v>4</v>
      </c>
      <c r="G178" s="15">
        <v>8032</v>
      </c>
      <c r="H178" s="15">
        <v>949</v>
      </c>
      <c r="I178" s="15">
        <v>279</v>
      </c>
      <c r="J178" s="15">
        <v>688</v>
      </c>
      <c r="K178" s="6">
        <v>1</v>
      </c>
      <c r="L178" s="6"/>
      <c r="M178" s="6" t="s">
        <v>30</v>
      </c>
      <c r="N178" s="6">
        <v>159</v>
      </c>
      <c r="O178" s="6" t="s">
        <v>475</v>
      </c>
      <c r="P178" s="7" t="s">
        <v>249</v>
      </c>
      <c r="Q178" s="6" t="s">
        <v>249</v>
      </c>
      <c r="S178" s="14" t="str">
        <f ca="1">IFERROR(__xludf.DUMMYFUNCTION("""COMPUTED_VALUE"""),"ブニ")</f>
        <v>ブニ</v>
      </c>
      <c r="T178" s="14" t="str">
        <f ca="1"/>
        <v>女性</v>
      </c>
      <c r="U178" s="14">
        <f ca="1"/>
        <v>159</v>
      </c>
      <c r="V178" s="14" t="str">
        <f ca="1"/>
        <v>不明</v>
      </c>
      <c r="W178" s="8" t="str">
        <f ca="1"/>
        <v>‐</v>
      </c>
      <c r="X178" s="14" t="str">
        <f ca="1"/>
        <v>‐</v>
      </c>
      <c r="Z178" s="14" t="str">
        <v>地</v>
      </c>
    </row>
    <row r="179" spans="1:26" ht="15.75" customHeight="1" x14ac:dyDescent="0.25">
      <c r="A179" s="11" t="s">
        <v>299</v>
      </c>
      <c r="B179" s="9" t="s">
        <v>301</v>
      </c>
      <c r="C179" s="6" t="s">
        <v>24</v>
      </c>
      <c r="D179" s="6" t="s">
        <v>21</v>
      </c>
      <c r="E179" s="6" t="s">
        <v>29</v>
      </c>
      <c r="F179" s="6">
        <v>3</v>
      </c>
      <c r="G179" s="15">
        <v>8805</v>
      </c>
      <c r="H179" s="15">
        <v>1080</v>
      </c>
      <c r="I179" s="15">
        <v>471</v>
      </c>
      <c r="J179" s="15">
        <v>430</v>
      </c>
      <c r="K179" s="6">
        <v>1</v>
      </c>
      <c r="L179" s="6"/>
      <c r="M179" s="6" t="s">
        <v>30</v>
      </c>
      <c r="N179" s="6">
        <v>159</v>
      </c>
      <c r="O179" s="6" t="s">
        <v>475</v>
      </c>
      <c r="P179" s="7" t="s">
        <v>249</v>
      </c>
      <c r="Q179" s="6" t="s">
        <v>249</v>
      </c>
      <c r="S179" s="14" t="str">
        <f ca="1">IFERROR(__xludf.DUMMYFUNCTION("""COMPUTED_VALUE"""),"ブニ")</f>
        <v>ブニ</v>
      </c>
      <c r="T179" s="14" t="str">
        <f ca="1"/>
        <v>女性</v>
      </c>
      <c r="U179" s="14">
        <f ca="1"/>
        <v>159</v>
      </c>
      <c r="V179" s="14" t="str">
        <f ca="1"/>
        <v>不明</v>
      </c>
      <c r="W179" s="8" t="str">
        <f ca="1"/>
        <v>‐</v>
      </c>
      <c r="X179" s="14" t="str">
        <f ca="1"/>
        <v>‐</v>
      </c>
      <c r="Z179" s="14" t="str">
        <v>雷</v>
      </c>
    </row>
    <row r="180" spans="1:26" ht="15.75" customHeight="1" x14ac:dyDescent="0.25">
      <c r="A180" s="11" t="s">
        <v>302</v>
      </c>
      <c r="B180" s="5" t="s">
        <v>303</v>
      </c>
      <c r="C180" s="6" t="s">
        <v>20</v>
      </c>
      <c r="D180" s="6" t="s">
        <v>15</v>
      </c>
      <c r="E180" s="6" t="s">
        <v>16</v>
      </c>
      <c r="F180" s="6">
        <v>5</v>
      </c>
      <c r="G180" s="15">
        <v>6241</v>
      </c>
      <c r="H180" s="15">
        <v>1377</v>
      </c>
      <c r="I180" s="15">
        <v>252</v>
      </c>
      <c r="J180" s="15">
        <v>666</v>
      </c>
      <c r="K180" s="6">
        <v>1</v>
      </c>
      <c r="L180" s="6"/>
      <c r="M180" s="6" t="s">
        <v>30</v>
      </c>
      <c r="N180" s="6">
        <v>159</v>
      </c>
      <c r="O180" s="6" t="s">
        <v>509</v>
      </c>
      <c r="P180" s="7" t="s">
        <v>249</v>
      </c>
      <c r="Q180" s="6" t="s">
        <v>249</v>
      </c>
      <c r="S180" s="14" t="str">
        <f ca="1">IFERROR(__xludf.DUMMYFUNCTION("""COMPUTED_VALUE"""),"オリエンス")</f>
        <v>オリエンス</v>
      </c>
      <c r="T180" s="14" t="str">
        <f ca="1"/>
        <v>女性</v>
      </c>
      <c r="U180" s="14">
        <f ca="1"/>
        <v>159</v>
      </c>
      <c r="V180" s="14" t="str">
        <f ca="1"/>
        <v>100↓</v>
      </c>
      <c r="W180" s="8" t="str">
        <f ca="1"/>
        <v>‐</v>
      </c>
      <c r="X180" s="14" t="str">
        <f ca="1"/>
        <v>‐</v>
      </c>
      <c r="Z180" s="14" t="str">
        <v>風</v>
      </c>
    </row>
    <row r="181" spans="1:26" ht="15.75" customHeight="1" x14ac:dyDescent="0.25">
      <c r="A181" s="11" t="s">
        <v>302</v>
      </c>
      <c r="B181" s="10" t="s">
        <v>304</v>
      </c>
      <c r="C181" s="6" t="s">
        <v>20</v>
      </c>
      <c r="D181" s="6" t="s">
        <v>32</v>
      </c>
      <c r="E181" s="6" t="s">
        <v>16</v>
      </c>
      <c r="F181" s="6">
        <v>4</v>
      </c>
      <c r="G181" s="15">
        <v>6612</v>
      </c>
      <c r="H181" s="15">
        <v>1124</v>
      </c>
      <c r="I181" s="15">
        <v>423</v>
      </c>
      <c r="J181" s="15">
        <v>558</v>
      </c>
      <c r="K181" s="6">
        <v>1</v>
      </c>
      <c r="L181" s="6"/>
      <c r="M181" s="6" t="s">
        <v>30</v>
      </c>
      <c r="N181" s="6">
        <v>159</v>
      </c>
      <c r="O181" s="6" t="s">
        <v>509</v>
      </c>
      <c r="P181" s="7" t="s">
        <v>249</v>
      </c>
      <c r="Q181" s="6" t="s">
        <v>249</v>
      </c>
      <c r="S181" s="14" t="str">
        <f ca="1">IFERROR(__xludf.DUMMYFUNCTION("""COMPUTED_VALUE"""),"オリエンス")</f>
        <v>オリエンス</v>
      </c>
      <c r="T181" s="14" t="str">
        <f ca="1"/>
        <v>女性</v>
      </c>
      <c r="U181" s="14">
        <f ca="1"/>
        <v>159</v>
      </c>
      <c r="V181" s="14" t="str">
        <f ca="1"/>
        <v>100↓</v>
      </c>
      <c r="W181" s="8" t="str">
        <f ca="1"/>
        <v>‐</v>
      </c>
      <c r="X181" s="14" t="str">
        <f ca="1"/>
        <v>‐</v>
      </c>
      <c r="Z181" s="14" t="str">
        <v>風</v>
      </c>
    </row>
    <row r="182" spans="1:26" ht="15.75" customHeight="1" x14ac:dyDescent="0.25">
      <c r="A182" s="11" t="s">
        <v>305</v>
      </c>
      <c r="B182" s="9" t="s">
        <v>306</v>
      </c>
      <c r="C182" s="6" t="s">
        <v>24</v>
      </c>
      <c r="D182" s="6" t="s">
        <v>21</v>
      </c>
      <c r="E182" s="6" t="s">
        <v>16</v>
      </c>
      <c r="F182" s="6">
        <v>4</v>
      </c>
      <c r="G182" s="15">
        <v>7727</v>
      </c>
      <c r="H182" s="15">
        <v>1203</v>
      </c>
      <c r="I182" s="15">
        <v>404</v>
      </c>
      <c r="J182" s="15">
        <v>481</v>
      </c>
      <c r="K182" s="6">
        <v>1</v>
      </c>
      <c r="L182" s="6"/>
      <c r="M182" s="6" t="s">
        <v>30</v>
      </c>
      <c r="N182" s="6">
        <v>169</v>
      </c>
      <c r="O182" s="6" t="s">
        <v>475</v>
      </c>
      <c r="P182" s="7" t="s">
        <v>249</v>
      </c>
      <c r="Q182" s="6" t="s">
        <v>249</v>
      </c>
      <c r="S182" s="14" t="str">
        <f ca="1">IFERROR(__xludf.DUMMYFUNCTION("""COMPUTED_VALUE"""),"アリオク")</f>
        <v>アリオク</v>
      </c>
      <c r="T182" s="14" t="str">
        <f ca="1"/>
        <v>女性</v>
      </c>
      <c r="U182" s="14">
        <f ca="1"/>
        <v>169</v>
      </c>
      <c r="V182" s="14" t="str">
        <f ca="1"/>
        <v>不明</v>
      </c>
      <c r="W182" s="8" t="str">
        <f ca="1"/>
        <v>‐</v>
      </c>
      <c r="X182" s="14" t="str">
        <f ca="1"/>
        <v>‐</v>
      </c>
      <c r="Z182" s="14" t="str">
        <v>風</v>
      </c>
    </row>
    <row r="183" spans="1:26" ht="15.75" customHeight="1" x14ac:dyDescent="0.25">
      <c r="A183" s="11" t="s">
        <v>307</v>
      </c>
      <c r="B183" s="5" t="s">
        <v>308</v>
      </c>
      <c r="C183" s="6" t="s">
        <v>14</v>
      </c>
      <c r="D183" s="6" t="s">
        <v>15</v>
      </c>
      <c r="E183" s="6" t="s">
        <v>16</v>
      </c>
      <c r="F183" s="6">
        <v>6</v>
      </c>
      <c r="G183" s="15">
        <v>9551</v>
      </c>
      <c r="H183" s="15">
        <v>446</v>
      </c>
      <c r="I183" s="15">
        <v>532</v>
      </c>
      <c r="J183" s="15">
        <v>711</v>
      </c>
      <c r="K183" s="6">
        <v>1</v>
      </c>
      <c r="L183" s="6"/>
      <c r="M183" s="6" t="s">
        <v>30</v>
      </c>
      <c r="N183" s="6">
        <v>163</v>
      </c>
      <c r="O183" s="6" t="s">
        <v>510</v>
      </c>
      <c r="P183" s="7" t="s">
        <v>249</v>
      </c>
      <c r="Q183" s="6" t="s">
        <v>249</v>
      </c>
      <c r="S183" s="14" t="str">
        <f ca="1">IFERROR(__xludf.DUMMYFUNCTION("""COMPUTED_VALUE"""),"リヴァイアサン")</f>
        <v>リヴァイアサン</v>
      </c>
      <c r="T183" s="14" t="str">
        <f ca="1"/>
        <v>女性</v>
      </c>
      <c r="U183" s="14">
        <f ca="1"/>
        <v>163</v>
      </c>
      <c r="V183" s="14" t="str">
        <f ca="1"/>
        <v>500↑</v>
      </c>
      <c r="W183" s="8" t="str">
        <f ca="1"/>
        <v>‐</v>
      </c>
      <c r="X183" s="14" t="str">
        <f ca="1"/>
        <v>‐</v>
      </c>
      <c r="Z183" s="14" t="str">
        <v>水</v>
      </c>
    </row>
    <row r="184" spans="1:26" ht="15.75" customHeight="1" x14ac:dyDescent="0.25">
      <c r="A184" s="11" t="s">
        <v>309</v>
      </c>
      <c r="B184" s="9" t="s">
        <v>310</v>
      </c>
      <c r="C184" s="6" t="s">
        <v>20</v>
      </c>
      <c r="D184" s="6" t="s">
        <v>21</v>
      </c>
      <c r="E184" s="6" t="s">
        <v>62</v>
      </c>
      <c r="F184" s="6">
        <v>4</v>
      </c>
      <c r="G184" s="15">
        <v>6797</v>
      </c>
      <c r="H184" s="15">
        <v>1269</v>
      </c>
      <c r="I184" s="15">
        <v>288</v>
      </c>
      <c r="J184" s="15">
        <v>617</v>
      </c>
      <c r="K184" s="6">
        <v>1</v>
      </c>
      <c r="L184" s="6"/>
      <c r="M184" s="6" t="s">
        <v>17</v>
      </c>
      <c r="N184" s="6">
        <v>183</v>
      </c>
      <c r="O184" s="6" t="s">
        <v>475</v>
      </c>
      <c r="P184" s="7">
        <v>44988</v>
      </c>
      <c r="Q184" s="6" t="s">
        <v>483</v>
      </c>
      <c r="S184" s="14" t="str">
        <f ca="1">IFERROR(__xludf.DUMMYFUNCTION("""COMPUTED_VALUE"""),"カスピエル")</f>
        <v>カスピエル</v>
      </c>
      <c r="T184" s="14" t="str">
        <f ca="1"/>
        <v>男性</v>
      </c>
      <c r="U184" s="14">
        <f ca="1"/>
        <v>183</v>
      </c>
      <c r="V184" s="14" t="str">
        <f ca="1"/>
        <v>不明</v>
      </c>
      <c r="W184" s="8">
        <f ca="1"/>
        <v>44988</v>
      </c>
      <c r="X184" s="14" t="str">
        <f ca="1"/>
        <v>（本名）</v>
      </c>
      <c r="Z184" s="14" t="str">
        <v>雷</v>
      </c>
    </row>
    <row r="185" spans="1:26" ht="15.75" customHeight="1" x14ac:dyDescent="0.25">
      <c r="A185" s="11" t="s">
        <v>309</v>
      </c>
      <c r="B185" s="5" t="s">
        <v>311</v>
      </c>
      <c r="C185" s="6" t="s">
        <v>24</v>
      </c>
      <c r="D185" s="6" t="s">
        <v>15</v>
      </c>
      <c r="E185" s="6" t="s">
        <v>62</v>
      </c>
      <c r="F185" s="6">
        <v>4</v>
      </c>
      <c r="G185" s="15">
        <v>7399</v>
      </c>
      <c r="H185" s="15">
        <v>1053</v>
      </c>
      <c r="I185" s="15">
        <v>490</v>
      </c>
      <c r="J185" s="15">
        <v>478</v>
      </c>
      <c r="K185" s="6">
        <v>1</v>
      </c>
      <c r="L185" s="6"/>
      <c r="M185" s="6" t="s">
        <v>17</v>
      </c>
      <c r="N185" s="6">
        <v>183</v>
      </c>
      <c r="O185" s="6" t="s">
        <v>475</v>
      </c>
      <c r="P185" s="7">
        <v>44988</v>
      </c>
      <c r="Q185" s="6" t="s">
        <v>483</v>
      </c>
      <c r="S185" s="14" t="str">
        <f ca="1">IFERROR(__xludf.DUMMYFUNCTION("""COMPUTED_VALUE"""),"カスピエル")</f>
        <v>カスピエル</v>
      </c>
      <c r="T185" s="14" t="str">
        <f ca="1"/>
        <v>男性</v>
      </c>
      <c r="U185" s="14">
        <f ca="1"/>
        <v>183</v>
      </c>
      <c r="V185" s="14" t="str">
        <f ca="1"/>
        <v>不明</v>
      </c>
      <c r="W185" s="8">
        <f ca="1"/>
        <v>44988</v>
      </c>
      <c r="X185" s="14" t="str">
        <f ca="1"/>
        <v>（本名）</v>
      </c>
      <c r="Z185" s="14" t="str">
        <v>雷</v>
      </c>
    </row>
    <row r="186" spans="1:26" ht="15.75" customHeight="1" x14ac:dyDescent="0.25">
      <c r="A186" s="11" t="s">
        <v>312</v>
      </c>
      <c r="B186" s="5" t="s">
        <v>313</v>
      </c>
      <c r="C186" s="6" t="s">
        <v>259</v>
      </c>
      <c r="D186" s="6" t="s">
        <v>15</v>
      </c>
      <c r="E186" s="6" t="s">
        <v>16</v>
      </c>
      <c r="F186" s="6">
        <v>4</v>
      </c>
      <c r="G186" s="15">
        <v>7733</v>
      </c>
      <c r="H186" s="15">
        <v>882</v>
      </c>
      <c r="I186" s="15">
        <v>488</v>
      </c>
      <c r="J186" s="15">
        <v>523</v>
      </c>
      <c r="K186" s="6">
        <v>1</v>
      </c>
      <c r="L186" s="6"/>
      <c r="M186" s="6" t="s">
        <v>30</v>
      </c>
      <c r="N186" s="6">
        <v>185</v>
      </c>
      <c r="O186" s="6" t="s">
        <v>475</v>
      </c>
      <c r="P186" s="7" t="s">
        <v>249</v>
      </c>
      <c r="Q186" s="6" t="s">
        <v>249</v>
      </c>
      <c r="S186" s="14" t="str">
        <f ca="1">IFERROR(__xludf.DUMMYFUNCTION("""COMPUTED_VALUE"""),"ネフィリム")</f>
        <v>ネフィリム</v>
      </c>
      <c r="T186" s="14" t="str">
        <f ca="1"/>
        <v>女性</v>
      </c>
      <c r="U186" s="14">
        <f ca="1"/>
        <v>185</v>
      </c>
      <c r="V186" s="14" t="str">
        <f ca="1"/>
        <v>不明</v>
      </c>
      <c r="W186" s="8" t="str">
        <f ca="1"/>
        <v>‐</v>
      </c>
      <c r="X186" s="14" t="str">
        <f ca="1"/>
        <v>‐</v>
      </c>
      <c r="Z186" s="14" t="str">
        <v>地</v>
      </c>
    </row>
    <row r="187" spans="1:26" ht="15.75" customHeight="1" x14ac:dyDescent="0.25">
      <c r="A187" s="11" t="s">
        <v>312</v>
      </c>
      <c r="B187" s="9" t="s">
        <v>314</v>
      </c>
      <c r="C187" s="6" t="s">
        <v>259</v>
      </c>
      <c r="D187" s="6" t="s">
        <v>21</v>
      </c>
      <c r="E187" s="6" t="s">
        <v>16</v>
      </c>
      <c r="F187" s="6">
        <v>4</v>
      </c>
      <c r="G187" s="15">
        <v>8966</v>
      </c>
      <c r="H187" s="15">
        <v>1098</v>
      </c>
      <c r="I187" s="15">
        <v>483</v>
      </c>
      <c r="J187" s="15">
        <v>270</v>
      </c>
      <c r="K187" s="6">
        <v>1</v>
      </c>
      <c r="L187" s="6"/>
      <c r="M187" s="6" t="s">
        <v>30</v>
      </c>
      <c r="N187" s="6">
        <v>185</v>
      </c>
      <c r="O187" s="6" t="s">
        <v>475</v>
      </c>
      <c r="P187" s="7" t="s">
        <v>249</v>
      </c>
      <c r="Q187" s="6" t="s">
        <v>249</v>
      </c>
      <c r="S187" s="14" t="str">
        <f ca="1">IFERROR(__xludf.DUMMYFUNCTION("""COMPUTED_VALUE"""),"ネフィリム")</f>
        <v>ネフィリム</v>
      </c>
      <c r="T187" s="14" t="str">
        <f ca="1"/>
        <v>女性</v>
      </c>
      <c r="U187" s="14">
        <f ca="1"/>
        <v>185</v>
      </c>
      <c r="V187" s="14" t="str">
        <f ca="1"/>
        <v>不明</v>
      </c>
      <c r="W187" s="8" t="str">
        <f ca="1"/>
        <v>‐</v>
      </c>
      <c r="X187" s="14" t="str">
        <f ca="1"/>
        <v>‐</v>
      </c>
      <c r="Z187" s="14" t="str">
        <v>地</v>
      </c>
    </row>
    <row r="188" spans="1:26" ht="15.75" customHeight="1" x14ac:dyDescent="0.25">
      <c r="A188" s="11" t="s">
        <v>315</v>
      </c>
      <c r="B188" s="5" t="s">
        <v>316</v>
      </c>
      <c r="C188" s="6" t="s">
        <v>259</v>
      </c>
      <c r="D188" s="6" t="s">
        <v>15</v>
      </c>
      <c r="E188" s="6" t="s">
        <v>16</v>
      </c>
      <c r="F188" s="6">
        <v>5</v>
      </c>
      <c r="G188" s="15">
        <v>9084</v>
      </c>
      <c r="H188" s="15">
        <v>1077</v>
      </c>
      <c r="I188" s="15">
        <v>482</v>
      </c>
      <c r="J188" s="15">
        <v>404</v>
      </c>
      <c r="K188" s="6">
        <v>1</v>
      </c>
      <c r="L188" s="6"/>
      <c r="M188" s="6" t="s">
        <v>30</v>
      </c>
      <c r="N188" s="6">
        <v>175</v>
      </c>
      <c r="O188" s="6" t="s">
        <v>475</v>
      </c>
      <c r="P188" s="7" t="s">
        <v>249</v>
      </c>
      <c r="Q188" s="6" t="s">
        <v>249</v>
      </c>
      <c r="S188" s="14" t="str">
        <f ca="1">IFERROR(__xludf.DUMMYFUNCTION("""COMPUTED_VALUE"""),"ミノソン")</f>
        <v>ミノソン</v>
      </c>
      <c r="T188" s="14" t="str">
        <f ca="1"/>
        <v>女性</v>
      </c>
      <c r="U188" s="14">
        <f ca="1"/>
        <v>175</v>
      </c>
      <c r="V188" s="14" t="str">
        <f ca="1"/>
        <v>不明</v>
      </c>
      <c r="W188" s="8" t="str">
        <f ca="1"/>
        <v>‐</v>
      </c>
      <c r="X188" s="14" t="str">
        <f ca="1"/>
        <v>‐</v>
      </c>
      <c r="Z188" s="14" t="str">
        <v>雷</v>
      </c>
    </row>
    <row r="189" spans="1:26" ht="15.75" customHeight="1" x14ac:dyDescent="0.25">
      <c r="A189" s="11" t="s">
        <v>317</v>
      </c>
      <c r="B189" s="5" t="s">
        <v>318</v>
      </c>
      <c r="C189" s="6" t="s">
        <v>259</v>
      </c>
      <c r="D189" s="6" t="s">
        <v>15</v>
      </c>
      <c r="E189" s="6" t="s">
        <v>29</v>
      </c>
      <c r="F189" s="6">
        <v>6</v>
      </c>
      <c r="G189" s="15">
        <v>9321</v>
      </c>
      <c r="H189" s="15">
        <v>1385</v>
      </c>
      <c r="I189" s="15">
        <v>417</v>
      </c>
      <c r="J189" s="15">
        <v>281</v>
      </c>
      <c r="K189" s="6">
        <v>1</v>
      </c>
      <c r="L189" s="6"/>
      <c r="M189" s="6" t="s">
        <v>17</v>
      </c>
      <c r="N189" s="6">
        <v>184</v>
      </c>
      <c r="O189" s="6" t="s">
        <v>475</v>
      </c>
      <c r="P189" s="7" t="s">
        <v>249</v>
      </c>
      <c r="Q189" s="6" t="s">
        <v>249</v>
      </c>
      <c r="S189" s="14" t="str">
        <f ca="1">IFERROR(__xludf.DUMMYFUNCTION("""COMPUTED_VALUE"""),"ニスロク")</f>
        <v>ニスロク</v>
      </c>
      <c r="T189" s="14" t="str">
        <f ca="1"/>
        <v>男性</v>
      </c>
      <c r="U189" s="14">
        <f ca="1"/>
        <v>184</v>
      </c>
      <c r="V189" s="14" t="str">
        <f ca="1"/>
        <v>不明</v>
      </c>
      <c r="W189" s="8" t="str">
        <f ca="1"/>
        <v>‐</v>
      </c>
      <c r="X189" s="14" t="str">
        <f ca="1"/>
        <v>‐</v>
      </c>
      <c r="Z189" s="14" t="str">
        <v>火</v>
      </c>
    </row>
    <row r="190" spans="1:26" ht="15.75" customHeight="1" x14ac:dyDescent="0.25">
      <c r="A190" s="11" t="s">
        <v>317</v>
      </c>
      <c r="B190" s="10" t="s">
        <v>319</v>
      </c>
      <c r="C190" s="6" t="s">
        <v>259</v>
      </c>
      <c r="D190" s="6" t="s">
        <v>32</v>
      </c>
      <c r="E190" s="6" t="s">
        <v>29</v>
      </c>
      <c r="F190" s="6">
        <v>3</v>
      </c>
      <c r="G190" s="15">
        <v>8840</v>
      </c>
      <c r="H190" s="15">
        <v>1226</v>
      </c>
      <c r="I190" s="15">
        <v>421</v>
      </c>
      <c r="J190" s="15">
        <v>438</v>
      </c>
      <c r="K190" s="6">
        <v>1</v>
      </c>
      <c r="L190" s="6"/>
      <c r="M190" s="6" t="s">
        <v>17</v>
      </c>
      <c r="N190" s="6">
        <v>184</v>
      </c>
      <c r="O190" s="6" t="s">
        <v>475</v>
      </c>
      <c r="P190" s="7" t="s">
        <v>249</v>
      </c>
      <c r="Q190" s="6" t="s">
        <v>249</v>
      </c>
      <c r="S190" s="14" t="str">
        <f ca="1">IFERROR(__xludf.DUMMYFUNCTION("""COMPUTED_VALUE"""),"ニスロク")</f>
        <v>ニスロク</v>
      </c>
      <c r="T190" s="14" t="str">
        <f ca="1"/>
        <v>男性</v>
      </c>
      <c r="U190" s="14">
        <f ca="1"/>
        <v>184</v>
      </c>
      <c r="V190" s="14" t="str">
        <f ca="1"/>
        <v>不明</v>
      </c>
      <c r="W190" s="8" t="str">
        <f ca="1"/>
        <v>‐</v>
      </c>
      <c r="X190" s="14" t="str">
        <f ca="1"/>
        <v>‐</v>
      </c>
      <c r="Z190" s="14" t="str">
        <v>火</v>
      </c>
    </row>
    <row r="191" spans="1:26" ht="15.75" customHeight="1" x14ac:dyDescent="0.25">
      <c r="A191" s="11" t="s">
        <v>320</v>
      </c>
      <c r="B191" s="5" t="s">
        <v>321</v>
      </c>
      <c r="C191" s="6" t="s">
        <v>20</v>
      </c>
      <c r="D191" s="6" t="s">
        <v>15</v>
      </c>
      <c r="E191" s="6" t="s">
        <v>29</v>
      </c>
      <c r="F191" s="6">
        <v>5</v>
      </c>
      <c r="G191" s="15">
        <v>7291</v>
      </c>
      <c r="H191" s="15">
        <v>922</v>
      </c>
      <c r="I191" s="15">
        <v>538</v>
      </c>
      <c r="J191" s="15">
        <v>471</v>
      </c>
      <c r="K191" s="6">
        <v>1</v>
      </c>
      <c r="L191" s="6"/>
      <c r="M191" s="6" t="s">
        <v>17</v>
      </c>
      <c r="N191" s="6">
        <v>173</v>
      </c>
      <c r="O191" s="6" t="s">
        <v>475</v>
      </c>
      <c r="P191" s="7" t="s">
        <v>249</v>
      </c>
      <c r="Q191" s="6" t="s">
        <v>249</v>
      </c>
      <c r="S191" s="14" t="str">
        <f ca="1">IFERROR(__xludf.DUMMYFUNCTION("""COMPUTED_VALUE"""),"オレイ")</f>
        <v>オレイ</v>
      </c>
      <c r="T191" s="14" t="str">
        <f ca="1"/>
        <v>男性</v>
      </c>
      <c r="U191" s="14">
        <f ca="1"/>
        <v>173</v>
      </c>
      <c r="V191" s="14" t="str">
        <f ca="1"/>
        <v>不明</v>
      </c>
      <c r="W191" s="8" t="str">
        <f ca="1"/>
        <v>‐</v>
      </c>
      <c r="X191" s="14" t="str">
        <f ca="1"/>
        <v>‐</v>
      </c>
      <c r="Z191" s="14" t="str">
        <v>氷</v>
      </c>
    </row>
    <row r="192" spans="1:26" ht="15.75" customHeight="1" x14ac:dyDescent="0.25">
      <c r="A192" s="11" t="s">
        <v>322</v>
      </c>
      <c r="B192" s="9" t="s">
        <v>323</v>
      </c>
      <c r="C192" s="6" t="s">
        <v>24</v>
      </c>
      <c r="D192" s="6" t="s">
        <v>21</v>
      </c>
      <c r="E192" s="6" t="s">
        <v>29</v>
      </c>
      <c r="F192" s="6">
        <v>3</v>
      </c>
      <c r="G192" s="15">
        <v>7854</v>
      </c>
      <c r="H192" s="15">
        <v>905</v>
      </c>
      <c r="I192" s="15">
        <v>471</v>
      </c>
      <c r="J192" s="15">
        <v>521</v>
      </c>
      <c r="K192" s="6">
        <v>1</v>
      </c>
      <c r="L192" s="6"/>
      <c r="M192" s="6" t="s">
        <v>30</v>
      </c>
      <c r="N192" s="6">
        <v>149</v>
      </c>
      <c r="O192" s="6" t="s">
        <v>475</v>
      </c>
      <c r="P192" s="7">
        <v>45066</v>
      </c>
      <c r="Q192" s="6" t="s">
        <v>483</v>
      </c>
      <c r="S192" s="14" t="str">
        <f ca="1">IFERROR(__xludf.DUMMYFUNCTION("""COMPUTED_VALUE"""),"マルチネ")</f>
        <v>マルチネ</v>
      </c>
      <c r="T192" s="14" t="str">
        <f ca="1"/>
        <v>女性</v>
      </c>
      <c r="U192" s="14">
        <f ca="1"/>
        <v>149</v>
      </c>
      <c r="V192" s="14" t="str">
        <f ca="1"/>
        <v>不明</v>
      </c>
      <c r="W192" s="8">
        <f ca="1"/>
        <v>45066</v>
      </c>
      <c r="X192" s="14" t="str">
        <f ca="1"/>
        <v>（本名）</v>
      </c>
      <c r="Z192" s="14" t="str">
        <v>風</v>
      </c>
    </row>
    <row r="193" spans="1:26" ht="15.75" customHeight="1" x14ac:dyDescent="0.25">
      <c r="A193" s="11" t="s">
        <v>322</v>
      </c>
      <c r="B193" s="5" t="s">
        <v>324</v>
      </c>
      <c r="C193" s="6" t="s">
        <v>20</v>
      </c>
      <c r="D193" s="6" t="s">
        <v>15</v>
      </c>
      <c r="E193" s="6" t="s">
        <v>29</v>
      </c>
      <c r="F193" s="6">
        <v>4</v>
      </c>
      <c r="G193" s="15">
        <v>6697</v>
      </c>
      <c r="H193" s="15">
        <v>1353</v>
      </c>
      <c r="I193" s="15">
        <v>417</v>
      </c>
      <c r="J193" s="15">
        <v>488</v>
      </c>
      <c r="K193" s="6">
        <v>1</v>
      </c>
      <c r="L193" s="6"/>
      <c r="M193" s="6" t="s">
        <v>30</v>
      </c>
      <c r="N193" s="6">
        <v>149</v>
      </c>
      <c r="O193" s="6" t="s">
        <v>475</v>
      </c>
      <c r="P193" s="7">
        <v>45066</v>
      </c>
      <c r="Q193" s="6" t="s">
        <v>483</v>
      </c>
      <c r="S193" s="14" t="str">
        <f ca="1">IFERROR(__xludf.DUMMYFUNCTION("""COMPUTED_VALUE"""),"マルチネ")</f>
        <v>マルチネ</v>
      </c>
      <c r="T193" s="14" t="str">
        <f ca="1"/>
        <v>女性</v>
      </c>
      <c r="U193" s="14">
        <f ca="1"/>
        <v>149</v>
      </c>
      <c r="V193" s="14" t="str">
        <f ca="1"/>
        <v>不明</v>
      </c>
      <c r="W193" s="8">
        <f ca="1"/>
        <v>45066</v>
      </c>
      <c r="X193" s="14" t="str">
        <f ca="1"/>
        <v>（本名）</v>
      </c>
      <c r="Z193" s="14" t="str">
        <v>風</v>
      </c>
    </row>
    <row r="194" spans="1:26" ht="15.75" customHeight="1" x14ac:dyDescent="0.25">
      <c r="A194" s="11" t="s">
        <v>325</v>
      </c>
      <c r="B194" s="10" t="s">
        <v>326</v>
      </c>
      <c r="C194" s="6" t="s">
        <v>20</v>
      </c>
      <c r="D194" s="6" t="s">
        <v>32</v>
      </c>
      <c r="E194" s="6" t="s">
        <v>29</v>
      </c>
      <c r="F194" s="6">
        <v>2</v>
      </c>
      <c r="G194" s="15">
        <v>7098</v>
      </c>
      <c r="H194" s="15">
        <v>1222</v>
      </c>
      <c r="I194" s="15">
        <v>409</v>
      </c>
      <c r="J194" s="15">
        <v>497</v>
      </c>
      <c r="K194" s="6">
        <v>2</v>
      </c>
      <c r="L194" s="6"/>
      <c r="M194" s="6" t="s">
        <v>17</v>
      </c>
      <c r="N194" s="6">
        <v>173</v>
      </c>
      <c r="O194" s="6" t="s">
        <v>475</v>
      </c>
      <c r="P194" s="7" t="s">
        <v>249</v>
      </c>
      <c r="Q194" s="6" t="s">
        <v>249</v>
      </c>
      <c r="S194" s="14" t="str">
        <f ca="1">IFERROR(__xludf.DUMMYFUNCTION("""COMPUTED_VALUE"""),"アザゼル")</f>
        <v>アザゼル</v>
      </c>
      <c r="T194" s="14" t="str">
        <f ca="1"/>
        <v>男性</v>
      </c>
      <c r="U194" s="14">
        <f ca="1"/>
        <v>173</v>
      </c>
      <c r="V194" s="14" t="str">
        <f ca="1"/>
        <v>不明</v>
      </c>
      <c r="W194" s="8" t="str">
        <f ca="1"/>
        <v>‐</v>
      </c>
      <c r="X194" s="14" t="str">
        <f ca="1"/>
        <v>‐</v>
      </c>
      <c r="Z194" s="14" t="str">
        <v>地</v>
      </c>
    </row>
    <row r="195" spans="1:26" ht="15.75" customHeight="1" x14ac:dyDescent="0.25">
      <c r="A195" s="11" t="s">
        <v>327</v>
      </c>
      <c r="B195" s="5" t="s">
        <v>328</v>
      </c>
      <c r="C195" s="6" t="s">
        <v>20</v>
      </c>
      <c r="D195" s="6" t="s">
        <v>15</v>
      </c>
      <c r="E195" s="6" t="s">
        <v>16</v>
      </c>
      <c r="F195" s="6">
        <v>6</v>
      </c>
      <c r="G195" s="15">
        <v>8810</v>
      </c>
      <c r="H195" s="15">
        <v>865</v>
      </c>
      <c r="I195" s="15">
        <v>538</v>
      </c>
      <c r="J195" s="15">
        <v>431</v>
      </c>
      <c r="K195" s="6">
        <v>1</v>
      </c>
      <c r="L195" s="6"/>
      <c r="M195" s="6" t="s">
        <v>30</v>
      </c>
      <c r="N195" s="6">
        <v>169</v>
      </c>
      <c r="O195" s="6" t="s">
        <v>475</v>
      </c>
      <c r="P195" s="7" t="s">
        <v>249</v>
      </c>
      <c r="Q195" s="6" t="s">
        <v>249</v>
      </c>
      <c r="S195" s="14" t="str">
        <f ca="1">IFERROR(__xludf.DUMMYFUNCTION("""COMPUTED_VALUE"""),"アルマロス")</f>
        <v>アルマロス</v>
      </c>
      <c r="T195" s="14" t="str">
        <f ca="1"/>
        <v>女性</v>
      </c>
      <c r="U195" s="14">
        <f ca="1"/>
        <v>169</v>
      </c>
      <c r="V195" s="14" t="str">
        <f ca="1"/>
        <v>不明</v>
      </c>
      <c r="W195" s="8" t="str">
        <f ca="1"/>
        <v>‐</v>
      </c>
      <c r="X195" s="14" t="str">
        <f ca="1"/>
        <v>‐</v>
      </c>
      <c r="Z195" s="14" t="str">
        <v>火</v>
      </c>
    </row>
    <row r="196" spans="1:26" ht="15.75" customHeight="1" x14ac:dyDescent="0.25">
      <c r="A196" s="11" t="s">
        <v>329</v>
      </c>
      <c r="B196" s="9" t="s">
        <v>330</v>
      </c>
      <c r="C196" s="6" t="s">
        <v>24</v>
      </c>
      <c r="D196" s="6" t="s">
        <v>21</v>
      </c>
      <c r="E196" s="6" t="s">
        <v>16</v>
      </c>
      <c r="F196" s="6">
        <v>4</v>
      </c>
      <c r="G196" s="15">
        <v>6568</v>
      </c>
      <c r="H196" s="15">
        <v>739</v>
      </c>
      <c r="I196" s="15">
        <v>643</v>
      </c>
      <c r="J196" s="15">
        <v>531</v>
      </c>
      <c r="K196" s="6">
        <v>1</v>
      </c>
      <c r="L196" s="6"/>
      <c r="M196" s="6" t="s">
        <v>30</v>
      </c>
      <c r="N196" s="6">
        <v>117</v>
      </c>
      <c r="O196" s="6">
        <v>2</v>
      </c>
      <c r="P196" s="7" t="s">
        <v>249</v>
      </c>
      <c r="Q196" s="6" t="s">
        <v>249</v>
      </c>
      <c r="S196" s="14" t="str">
        <f ca="1">IFERROR(__xludf.DUMMYFUNCTION("""COMPUTED_VALUE"""),"バラキエル")</f>
        <v>バラキエル</v>
      </c>
      <c r="T196" s="14" t="str">
        <f ca="1"/>
        <v>女性</v>
      </c>
      <c r="U196" s="14">
        <f ca="1"/>
        <v>117</v>
      </c>
      <c r="V196" s="14">
        <f ca="1"/>
        <v>2</v>
      </c>
      <c r="W196" s="8" t="str">
        <f ca="1"/>
        <v>‐</v>
      </c>
      <c r="X196" s="14" t="str">
        <f ca="1"/>
        <v>‐</v>
      </c>
      <c r="Z196" s="14" t="str">
        <v>氷</v>
      </c>
    </row>
    <row r="197" spans="1:26" ht="15.75" customHeight="1" x14ac:dyDescent="0.25">
      <c r="A197" s="11" t="s">
        <v>331</v>
      </c>
      <c r="B197" s="5" t="s">
        <v>332</v>
      </c>
      <c r="C197" s="6" t="s">
        <v>20</v>
      </c>
      <c r="D197" s="6" t="s">
        <v>15</v>
      </c>
      <c r="E197" s="6" t="s">
        <v>16</v>
      </c>
      <c r="F197" s="6">
        <v>5</v>
      </c>
      <c r="G197" s="15">
        <v>8713</v>
      </c>
      <c r="H197" s="15">
        <v>739</v>
      </c>
      <c r="I197" s="15">
        <v>512</v>
      </c>
      <c r="J197" s="15">
        <v>492</v>
      </c>
      <c r="K197" s="6">
        <v>1</v>
      </c>
      <c r="L197" s="6"/>
      <c r="M197" s="6" t="s">
        <v>30</v>
      </c>
      <c r="N197" s="6">
        <v>161</v>
      </c>
      <c r="O197" s="6" t="s">
        <v>475</v>
      </c>
      <c r="P197" s="7" t="s">
        <v>249</v>
      </c>
      <c r="Q197" s="6" t="s">
        <v>249</v>
      </c>
      <c r="S197" s="14" t="str">
        <f ca="1">IFERROR(__xludf.DUMMYFUNCTION("""COMPUTED_VALUE"""),"フルーレティ")</f>
        <v>フルーレティ</v>
      </c>
      <c r="T197" s="14" t="str">
        <f ca="1"/>
        <v>女性</v>
      </c>
      <c r="U197" s="14">
        <f ca="1"/>
        <v>161</v>
      </c>
      <c r="V197" s="14" t="str">
        <f ca="1"/>
        <v>不明</v>
      </c>
      <c r="W197" s="8" t="str">
        <f ca="1"/>
        <v>‐</v>
      </c>
      <c r="X197" s="14" t="str">
        <f ca="1"/>
        <v>‐</v>
      </c>
      <c r="Z197" s="14" t="str">
        <v>火</v>
      </c>
    </row>
    <row r="198" spans="1:26" ht="15.75" customHeight="1" x14ac:dyDescent="0.25">
      <c r="A198" s="11" t="s">
        <v>331</v>
      </c>
      <c r="B198" s="9" t="s">
        <v>333</v>
      </c>
      <c r="C198" s="6" t="s">
        <v>20</v>
      </c>
      <c r="D198" s="6" t="s">
        <v>21</v>
      </c>
      <c r="E198" s="6" t="s">
        <v>16</v>
      </c>
      <c r="F198" s="6">
        <v>4</v>
      </c>
      <c r="G198" s="15">
        <v>7716</v>
      </c>
      <c r="H198" s="15">
        <v>1004</v>
      </c>
      <c r="I198" s="15">
        <v>421</v>
      </c>
      <c r="J198" s="15">
        <v>611</v>
      </c>
      <c r="K198" s="6">
        <v>1</v>
      </c>
      <c r="L198" s="6"/>
      <c r="M198" s="6" t="s">
        <v>30</v>
      </c>
      <c r="N198" s="6">
        <v>161</v>
      </c>
      <c r="O198" s="6" t="s">
        <v>475</v>
      </c>
      <c r="P198" s="7" t="s">
        <v>249</v>
      </c>
      <c r="Q198" s="6" t="s">
        <v>249</v>
      </c>
      <c r="S198" s="14" t="str">
        <f ca="1">IFERROR(__xludf.DUMMYFUNCTION("""COMPUTED_VALUE"""),"フルーレティ")</f>
        <v>フルーレティ</v>
      </c>
      <c r="T198" s="14" t="str">
        <f ca="1"/>
        <v>女性</v>
      </c>
      <c r="U198" s="14">
        <f ca="1"/>
        <v>161</v>
      </c>
      <c r="V198" s="14" t="str">
        <f ca="1"/>
        <v>不明</v>
      </c>
      <c r="W198" s="8" t="str">
        <f ca="1"/>
        <v>‐</v>
      </c>
      <c r="X198" s="14" t="str">
        <f ca="1"/>
        <v>‐</v>
      </c>
      <c r="Z198" s="14" t="str">
        <v>火</v>
      </c>
    </row>
    <row r="199" spans="1:26" ht="15.75" customHeight="1" x14ac:dyDescent="0.25">
      <c r="A199" s="11" t="s">
        <v>334</v>
      </c>
      <c r="B199" s="9" t="s">
        <v>335</v>
      </c>
      <c r="C199" s="6" t="s">
        <v>14</v>
      </c>
      <c r="D199" s="6" t="s">
        <v>21</v>
      </c>
      <c r="E199" s="6" t="s">
        <v>16</v>
      </c>
      <c r="F199" s="6">
        <v>5</v>
      </c>
      <c r="G199" s="15">
        <v>7621</v>
      </c>
      <c r="H199" s="15">
        <v>947</v>
      </c>
      <c r="I199" s="15">
        <v>475</v>
      </c>
      <c r="J199" s="15">
        <v>501</v>
      </c>
      <c r="K199" s="6">
        <v>1</v>
      </c>
      <c r="L199" s="6"/>
      <c r="M199" s="6" t="s">
        <v>17</v>
      </c>
      <c r="N199" s="6">
        <v>170</v>
      </c>
      <c r="O199" s="6" t="s">
        <v>475</v>
      </c>
      <c r="P199" s="7" t="s">
        <v>249</v>
      </c>
      <c r="Q199" s="6" t="s">
        <v>249</v>
      </c>
      <c r="S199" s="14" t="str">
        <f ca="1">IFERROR(__xludf.DUMMYFUNCTION("""COMPUTED_VALUE"""),"ガギゾン")</f>
        <v>ガギゾン</v>
      </c>
      <c r="T199" s="14" t="str">
        <f ca="1"/>
        <v>男性</v>
      </c>
      <c r="U199" s="14">
        <f ca="1"/>
        <v>170</v>
      </c>
      <c r="V199" s="14" t="str">
        <f ca="1"/>
        <v>不明</v>
      </c>
      <c r="W199" s="8" t="str">
        <f ca="1"/>
        <v>‐</v>
      </c>
      <c r="X199" s="14" t="str">
        <f ca="1"/>
        <v>‐</v>
      </c>
      <c r="Z199" s="14" t="str">
        <v>氷</v>
      </c>
    </row>
    <row r="200" spans="1:26" ht="15.75" customHeight="1" x14ac:dyDescent="0.25">
      <c r="A200" s="11" t="s">
        <v>336</v>
      </c>
      <c r="B200" s="5" t="s">
        <v>337</v>
      </c>
      <c r="C200" s="6" t="s">
        <v>20</v>
      </c>
      <c r="D200" s="6" t="s">
        <v>15</v>
      </c>
      <c r="E200" s="6" t="s">
        <v>29</v>
      </c>
      <c r="F200" s="6">
        <v>4</v>
      </c>
      <c r="G200" s="15">
        <v>7969</v>
      </c>
      <c r="H200" s="15">
        <v>848</v>
      </c>
      <c r="I200" s="15">
        <v>464</v>
      </c>
      <c r="J200" s="15">
        <v>618</v>
      </c>
      <c r="K200" s="6">
        <v>1</v>
      </c>
      <c r="L200" s="6"/>
      <c r="M200" s="6" t="s">
        <v>17</v>
      </c>
      <c r="N200" s="6">
        <v>190</v>
      </c>
      <c r="O200" s="6" t="s">
        <v>475</v>
      </c>
      <c r="P200" s="7" t="s">
        <v>249</v>
      </c>
      <c r="Q200" s="6" t="s">
        <v>249</v>
      </c>
      <c r="S200" s="14" t="str">
        <f ca="1">IFERROR(__xludf.DUMMYFUNCTION("""COMPUTED_VALUE"""),"ハック")</f>
        <v>ハック</v>
      </c>
      <c r="T200" s="14" t="str">
        <f ca="1"/>
        <v>男性</v>
      </c>
      <c r="U200" s="14">
        <f ca="1"/>
        <v>190</v>
      </c>
      <c r="V200" s="14" t="str">
        <f ca="1"/>
        <v>不明</v>
      </c>
      <c r="W200" s="8" t="str">
        <f ca="1"/>
        <v>‐</v>
      </c>
      <c r="X200" s="14" t="str">
        <f ca="1"/>
        <v>‐</v>
      </c>
      <c r="Z200" s="14" t="str">
        <v>氷</v>
      </c>
    </row>
    <row r="201" spans="1:26" ht="15.75" customHeight="1" x14ac:dyDescent="0.25">
      <c r="A201" s="11" t="s">
        <v>336</v>
      </c>
      <c r="B201" s="9" t="s">
        <v>338</v>
      </c>
      <c r="C201" s="6" t="s">
        <v>24</v>
      </c>
      <c r="D201" s="6" t="s">
        <v>21</v>
      </c>
      <c r="E201" s="6" t="s">
        <v>29</v>
      </c>
      <c r="F201" s="6">
        <v>4</v>
      </c>
      <c r="G201" s="15">
        <v>8902</v>
      </c>
      <c r="H201" s="15">
        <v>1001</v>
      </c>
      <c r="I201" s="15">
        <v>287</v>
      </c>
      <c r="J201" s="15">
        <v>629</v>
      </c>
      <c r="K201" s="6">
        <v>1</v>
      </c>
      <c r="L201" s="6"/>
      <c r="M201" s="6" t="s">
        <v>17</v>
      </c>
      <c r="N201" s="6">
        <v>190</v>
      </c>
      <c r="O201" s="6" t="s">
        <v>475</v>
      </c>
      <c r="P201" s="7" t="s">
        <v>249</v>
      </c>
      <c r="Q201" s="6" t="s">
        <v>249</v>
      </c>
      <c r="S201" s="14" t="str">
        <f ca="1">IFERROR(__xludf.DUMMYFUNCTION("""COMPUTED_VALUE"""),"ハック")</f>
        <v>ハック</v>
      </c>
      <c r="T201" s="14" t="str">
        <f ca="1"/>
        <v>男性</v>
      </c>
      <c r="U201" s="14">
        <f ca="1"/>
        <v>190</v>
      </c>
      <c r="V201" s="14" t="str">
        <f ca="1"/>
        <v>不明</v>
      </c>
      <c r="W201" s="8" t="str">
        <f ca="1"/>
        <v>‐</v>
      </c>
      <c r="X201" s="14" t="str">
        <f ca="1"/>
        <v>‐</v>
      </c>
      <c r="Z201" s="14" t="str">
        <v>氷</v>
      </c>
    </row>
    <row r="202" spans="1:26" ht="15.75" customHeight="1" x14ac:dyDescent="0.25">
      <c r="A202" s="11" t="s">
        <v>339</v>
      </c>
      <c r="B202" s="9" t="s">
        <v>340</v>
      </c>
      <c r="C202" s="6" t="s">
        <v>24</v>
      </c>
      <c r="D202" s="6" t="s">
        <v>21</v>
      </c>
      <c r="E202" s="6" t="s">
        <v>62</v>
      </c>
      <c r="F202" s="6">
        <v>3</v>
      </c>
      <c r="G202" s="15">
        <v>7587</v>
      </c>
      <c r="H202" s="15">
        <v>1072</v>
      </c>
      <c r="I202" s="15">
        <v>496</v>
      </c>
      <c r="J202" s="15">
        <v>492</v>
      </c>
      <c r="K202" s="6">
        <v>2</v>
      </c>
      <c r="L202" s="6"/>
      <c r="M202" s="6" t="s">
        <v>30</v>
      </c>
      <c r="N202" s="6">
        <v>167</v>
      </c>
      <c r="O202" s="6" t="s">
        <v>475</v>
      </c>
      <c r="P202" s="7" t="s">
        <v>249</v>
      </c>
      <c r="Q202" s="6" t="s">
        <v>249</v>
      </c>
      <c r="S202" s="14" t="str">
        <f ca="1">IFERROR(__xludf.DUMMYFUNCTION("""COMPUTED_VALUE"""),"マスティマ")</f>
        <v>マスティマ</v>
      </c>
      <c r="T202" s="14" t="str">
        <f ca="1"/>
        <v>女性</v>
      </c>
      <c r="U202" s="14">
        <f ca="1"/>
        <v>167</v>
      </c>
      <c r="V202" s="14" t="str">
        <f ca="1"/>
        <v>不明</v>
      </c>
      <c r="W202" s="8" t="str">
        <f ca="1"/>
        <v>‐</v>
      </c>
      <c r="X202" s="14" t="str">
        <f ca="1"/>
        <v>‐</v>
      </c>
      <c r="Z202" s="14" t="str">
        <v>氷</v>
      </c>
    </row>
    <row r="203" spans="1:26" ht="15.75" customHeight="1" x14ac:dyDescent="0.25">
      <c r="A203" s="11" t="s">
        <v>341</v>
      </c>
      <c r="B203" s="10" t="s">
        <v>342</v>
      </c>
      <c r="C203" s="6" t="s">
        <v>24</v>
      </c>
      <c r="D203" s="6" t="s">
        <v>32</v>
      </c>
      <c r="E203" s="6" t="s">
        <v>29</v>
      </c>
      <c r="F203" s="6">
        <v>2</v>
      </c>
      <c r="G203" s="15">
        <v>6889</v>
      </c>
      <c r="H203" s="15">
        <v>1080</v>
      </c>
      <c r="I203" s="15">
        <v>439</v>
      </c>
      <c r="J203" s="15">
        <v>622</v>
      </c>
      <c r="K203" s="6">
        <v>1</v>
      </c>
      <c r="L203" s="6"/>
      <c r="M203" s="6" t="s">
        <v>30</v>
      </c>
      <c r="N203" s="6">
        <v>186</v>
      </c>
      <c r="O203" s="6" t="s">
        <v>475</v>
      </c>
      <c r="P203" s="7" t="s">
        <v>249</v>
      </c>
      <c r="Q203" s="6" t="s">
        <v>249</v>
      </c>
      <c r="S203" s="14" t="str">
        <f ca="1">IFERROR(__xludf.DUMMYFUNCTION("""COMPUTED_VALUE"""),"ブリフォー")</f>
        <v>ブリフォー</v>
      </c>
      <c r="T203" s="14" t="str">
        <f ca="1"/>
        <v>女性</v>
      </c>
      <c r="U203" s="14">
        <f ca="1"/>
        <v>186</v>
      </c>
      <c r="V203" s="14" t="str">
        <f ca="1"/>
        <v>不明</v>
      </c>
      <c r="W203" s="8" t="str">
        <f ca="1"/>
        <v>‐</v>
      </c>
      <c r="X203" s="14" t="str">
        <f ca="1"/>
        <v>‐</v>
      </c>
      <c r="Z203" s="14" t="str">
        <v>風</v>
      </c>
    </row>
    <row r="204" spans="1:26" ht="15.75" customHeight="1" x14ac:dyDescent="0.25">
      <c r="A204" s="11" t="s">
        <v>343</v>
      </c>
      <c r="B204" s="9" t="s">
        <v>344</v>
      </c>
      <c r="C204" s="6" t="s">
        <v>24</v>
      </c>
      <c r="D204" s="6" t="s">
        <v>21</v>
      </c>
      <c r="E204" s="6" t="s">
        <v>16</v>
      </c>
      <c r="F204" s="6">
        <v>4</v>
      </c>
      <c r="G204" s="15">
        <v>7452</v>
      </c>
      <c r="H204" s="15">
        <v>615</v>
      </c>
      <c r="I204" s="15">
        <v>637</v>
      </c>
      <c r="J204" s="15">
        <v>634</v>
      </c>
      <c r="K204" s="6">
        <v>1</v>
      </c>
      <c r="L204" s="6"/>
      <c r="M204" s="6" t="s">
        <v>17</v>
      </c>
      <c r="N204" s="6">
        <v>168</v>
      </c>
      <c r="O204" s="6" t="s">
        <v>475</v>
      </c>
      <c r="P204" s="7" t="s">
        <v>249</v>
      </c>
      <c r="Q204" s="6" t="s">
        <v>249</v>
      </c>
      <c r="S204" s="14" t="str">
        <f ca="1">IFERROR(__xludf.DUMMYFUNCTION("""COMPUTED_VALUE"""),"メフィスト")</f>
        <v>メフィスト</v>
      </c>
      <c r="T204" s="14" t="str">
        <f ca="1"/>
        <v>男性</v>
      </c>
      <c r="U204" s="14">
        <f ca="1"/>
        <v>168</v>
      </c>
      <c r="V204" s="14" t="str">
        <f ca="1"/>
        <v>不明</v>
      </c>
      <c r="W204" s="8" t="str">
        <f ca="1"/>
        <v>‐</v>
      </c>
      <c r="X204" s="14" t="str">
        <f ca="1"/>
        <v>‐</v>
      </c>
      <c r="Z204" s="14" t="str">
        <v>雷</v>
      </c>
    </row>
    <row r="205" spans="1:26" ht="15.75" customHeight="1" x14ac:dyDescent="0.25">
      <c r="A205" s="11" t="s">
        <v>343</v>
      </c>
      <c r="B205" s="5" t="s">
        <v>345</v>
      </c>
      <c r="C205" s="6" t="s">
        <v>20</v>
      </c>
      <c r="D205" s="6" t="s">
        <v>15</v>
      </c>
      <c r="E205" s="6" t="s">
        <v>16</v>
      </c>
      <c r="F205" s="6">
        <v>5</v>
      </c>
      <c r="G205" s="15">
        <v>5899</v>
      </c>
      <c r="H205" s="15">
        <v>1194</v>
      </c>
      <c r="I205" s="15">
        <v>417</v>
      </c>
      <c r="J205" s="15">
        <v>648</v>
      </c>
      <c r="K205" s="6">
        <v>1</v>
      </c>
      <c r="L205" s="6"/>
      <c r="M205" s="6" t="s">
        <v>17</v>
      </c>
      <c r="N205" s="6">
        <v>168</v>
      </c>
      <c r="O205" s="6" t="s">
        <v>475</v>
      </c>
      <c r="P205" s="7" t="s">
        <v>249</v>
      </c>
      <c r="Q205" s="6" t="s">
        <v>249</v>
      </c>
      <c r="S205" s="14" t="str">
        <f ca="1">IFERROR(__xludf.DUMMYFUNCTION("""COMPUTED_VALUE"""),"メフィスト")</f>
        <v>メフィスト</v>
      </c>
      <c r="T205" s="14" t="str">
        <f ca="1"/>
        <v>男性</v>
      </c>
      <c r="U205" s="14">
        <f ca="1"/>
        <v>168</v>
      </c>
      <c r="V205" s="14" t="str">
        <f ca="1"/>
        <v>不明</v>
      </c>
      <c r="W205" s="8" t="str">
        <f ca="1"/>
        <v>‐</v>
      </c>
      <c r="X205" s="14" t="str">
        <f ca="1"/>
        <v>‐</v>
      </c>
      <c r="Z205" s="14" t="str">
        <v>雷</v>
      </c>
    </row>
    <row r="206" spans="1:26" ht="15.75" customHeight="1" x14ac:dyDescent="0.25">
      <c r="A206" s="11" t="s">
        <v>346</v>
      </c>
      <c r="B206" s="10" t="s">
        <v>347</v>
      </c>
      <c r="C206" s="6" t="s">
        <v>24</v>
      </c>
      <c r="D206" s="6" t="s">
        <v>32</v>
      </c>
      <c r="E206" s="6" t="s">
        <v>16</v>
      </c>
      <c r="F206" s="6">
        <v>2</v>
      </c>
      <c r="G206" s="15">
        <v>7593</v>
      </c>
      <c r="H206" s="15">
        <v>1154</v>
      </c>
      <c r="I206" s="15">
        <v>438</v>
      </c>
      <c r="J206" s="15">
        <v>480</v>
      </c>
      <c r="K206" s="6">
        <v>2</v>
      </c>
      <c r="L206" s="6"/>
      <c r="M206" s="6" t="s">
        <v>30</v>
      </c>
      <c r="N206" s="6">
        <v>160</v>
      </c>
      <c r="O206" s="6" t="s">
        <v>475</v>
      </c>
      <c r="P206" s="7" t="s">
        <v>249</v>
      </c>
      <c r="Q206" s="6" t="s">
        <v>249</v>
      </c>
      <c r="S206" s="14" t="str">
        <f ca="1">IFERROR(__xludf.DUMMYFUNCTION("""COMPUTED_VALUE"""),"ネビロス")</f>
        <v>ネビロス</v>
      </c>
      <c r="T206" s="14" t="str">
        <f ca="1"/>
        <v>女性</v>
      </c>
      <c r="U206" s="14">
        <f ca="1"/>
        <v>160</v>
      </c>
      <c r="V206" s="14" t="str">
        <f ca="1"/>
        <v>不明</v>
      </c>
      <c r="W206" s="8" t="str">
        <f ca="1"/>
        <v>‐</v>
      </c>
      <c r="X206" s="14" t="str">
        <f ca="1"/>
        <v>‐</v>
      </c>
      <c r="Z206" s="14" t="str">
        <v>雷</v>
      </c>
    </row>
    <row r="207" spans="1:26" ht="15.75" customHeight="1" x14ac:dyDescent="0.25">
      <c r="A207" s="11" t="s">
        <v>348</v>
      </c>
      <c r="B207" s="10" t="s">
        <v>349</v>
      </c>
      <c r="C207" s="6" t="s">
        <v>20</v>
      </c>
      <c r="D207" s="6" t="s">
        <v>32</v>
      </c>
      <c r="E207" s="6" t="s">
        <v>29</v>
      </c>
      <c r="F207" s="6">
        <v>3</v>
      </c>
      <c r="G207" s="15">
        <v>6390</v>
      </c>
      <c r="H207" s="15">
        <v>1100</v>
      </c>
      <c r="I207" s="15">
        <v>271</v>
      </c>
      <c r="J207" s="15">
        <v>706</v>
      </c>
      <c r="K207" s="6">
        <v>1</v>
      </c>
      <c r="L207" s="6"/>
      <c r="M207" s="6" t="s">
        <v>30</v>
      </c>
      <c r="N207" s="6">
        <v>161</v>
      </c>
      <c r="O207" s="6" t="s">
        <v>475</v>
      </c>
      <c r="P207" s="7" t="s">
        <v>249</v>
      </c>
      <c r="Q207" s="6" t="s">
        <v>249</v>
      </c>
      <c r="S207" s="14" t="str">
        <f ca="1">IFERROR(__xludf.DUMMYFUNCTION("""COMPUTED_VALUE"""),"アガリアレプト")</f>
        <v>アガリアレプト</v>
      </c>
      <c r="T207" s="14" t="str">
        <f ca="1"/>
        <v>女性</v>
      </c>
      <c r="U207" s="14">
        <f ca="1"/>
        <v>161</v>
      </c>
      <c r="V207" s="14" t="str">
        <f ca="1"/>
        <v>不明</v>
      </c>
      <c r="W207" s="8" t="str">
        <f ca="1"/>
        <v>‐</v>
      </c>
      <c r="X207" s="14" t="str">
        <f ca="1"/>
        <v>‐</v>
      </c>
      <c r="Z207" s="14" t="str">
        <v>水</v>
      </c>
    </row>
    <row r="208" spans="1:26" ht="15.75" customHeight="1" x14ac:dyDescent="0.25">
      <c r="A208" s="11" t="s">
        <v>348</v>
      </c>
      <c r="B208" s="5" t="s">
        <v>350</v>
      </c>
      <c r="C208" s="6" t="s">
        <v>24</v>
      </c>
      <c r="D208" s="6" t="s">
        <v>15</v>
      </c>
      <c r="E208" s="6" t="s">
        <v>29</v>
      </c>
      <c r="F208" s="6">
        <v>6</v>
      </c>
      <c r="G208" s="15">
        <v>7702</v>
      </c>
      <c r="H208" s="15">
        <v>968</v>
      </c>
      <c r="I208" s="15">
        <v>276</v>
      </c>
      <c r="J208" s="15">
        <v>676</v>
      </c>
      <c r="K208" s="6">
        <v>1</v>
      </c>
      <c r="L208" s="6"/>
      <c r="M208" s="6" t="s">
        <v>30</v>
      </c>
      <c r="N208" s="6">
        <v>161</v>
      </c>
      <c r="O208" s="6" t="s">
        <v>475</v>
      </c>
      <c r="P208" s="7" t="s">
        <v>249</v>
      </c>
      <c r="Q208" s="6" t="s">
        <v>249</v>
      </c>
      <c r="S208" s="14" t="str">
        <f ca="1">IFERROR(__xludf.DUMMYFUNCTION("""COMPUTED_VALUE"""),"アガリアレプト")</f>
        <v>アガリアレプト</v>
      </c>
      <c r="T208" s="14" t="str">
        <f ca="1"/>
        <v>女性</v>
      </c>
      <c r="U208" s="14">
        <f ca="1"/>
        <v>161</v>
      </c>
      <c r="V208" s="14" t="str">
        <f ca="1"/>
        <v>不明</v>
      </c>
      <c r="W208" s="8" t="str">
        <f ca="1"/>
        <v>‐</v>
      </c>
      <c r="X208" s="14" t="str">
        <f ca="1"/>
        <v>‐</v>
      </c>
      <c r="Z208" s="14" t="str">
        <v>水</v>
      </c>
    </row>
    <row r="209" spans="1:26" ht="15.75" customHeight="1" x14ac:dyDescent="0.25">
      <c r="A209" s="11" t="s">
        <v>351</v>
      </c>
      <c r="B209" s="5" t="s">
        <v>352</v>
      </c>
      <c r="C209" s="6" t="s">
        <v>20</v>
      </c>
      <c r="D209" s="6" t="s">
        <v>15</v>
      </c>
      <c r="E209" s="6" t="s">
        <v>62</v>
      </c>
      <c r="F209" s="6">
        <v>4</v>
      </c>
      <c r="G209" s="15">
        <v>7272</v>
      </c>
      <c r="H209" s="15">
        <v>739</v>
      </c>
      <c r="I209" s="15">
        <v>523</v>
      </c>
      <c r="J209" s="15">
        <v>535</v>
      </c>
      <c r="K209" s="6">
        <v>1</v>
      </c>
      <c r="L209" s="6"/>
      <c r="M209" s="6" t="s">
        <v>30</v>
      </c>
      <c r="N209" s="6">
        <v>172</v>
      </c>
      <c r="O209" s="6" t="s">
        <v>475</v>
      </c>
      <c r="P209" s="7">
        <v>45167</v>
      </c>
      <c r="Q209" s="6" t="s">
        <v>482</v>
      </c>
      <c r="S209" s="14" t="str">
        <f ca="1">IFERROR(__xludf.DUMMYFUNCTION("""COMPUTED_VALUE"""),"ウコバク")</f>
        <v>ウコバク</v>
      </c>
      <c r="T209" s="14" t="str">
        <f ca="1"/>
        <v>女性</v>
      </c>
      <c r="U209" s="14">
        <f ca="1"/>
        <v>172</v>
      </c>
      <c r="V209" s="14" t="str">
        <f ca="1"/>
        <v>不明</v>
      </c>
      <c r="W209" s="8">
        <f ca="1"/>
        <v>45167</v>
      </c>
      <c r="X209" s="14" t="str">
        <f ca="1"/>
        <v>（忘却）</v>
      </c>
      <c r="Z209" s="14" t="str">
        <v>火</v>
      </c>
    </row>
    <row r="210" spans="1:26" ht="15.75" customHeight="1" x14ac:dyDescent="0.25">
      <c r="A210" s="11" t="s">
        <v>353</v>
      </c>
      <c r="B210" s="10" t="s">
        <v>354</v>
      </c>
      <c r="C210" s="6" t="s">
        <v>24</v>
      </c>
      <c r="D210" s="6" t="s">
        <v>32</v>
      </c>
      <c r="E210" s="6" t="s">
        <v>16</v>
      </c>
      <c r="F210" s="6">
        <v>2</v>
      </c>
      <c r="G210" s="15">
        <v>7070</v>
      </c>
      <c r="H210" s="15">
        <v>1144</v>
      </c>
      <c r="I210" s="15">
        <v>460</v>
      </c>
      <c r="J210" s="15">
        <v>514</v>
      </c>
      <c r="K210" s="6">
        <v>2</v>
      </c>
      <c r="L210" s="6"/>
      <c r="M210" s="6" t="s">
        <v>30</v>
      </c>
      <c r="N210" s="6">
        <v>165</v>
      </c>
      <c r="O210" s="6" t="s">
        <v>475</v>
      </c>
      <c r="P210" s="7" t="s">
        <v>249</v>
      </c>
      <c r="Q210" s="6" t="s">
        <v>249</v>
      </c>
      <c r="S210" s="14" t="str">
        <f ca="1">IFERROR(__xludf.DUMMYFUNCTION("""COMPUTED_VALUE"""),"グザファン")</f>
        <v>グザファン</v>
      </c>
      <c r="T210" s="14" t="str">
        <f ca="1"/>
        <v>女性</v>
      </c>
      <c r="U210" s="14">
        <f ca="1"/>
        <v>165</v>
      </c>
      <c r="V210" s="14" t="str">
        <f ca="1"/>
        <v>不明</v>
      </c>
      <c r="W210" s="8" t="str">
        <f ca="1"/>
        <v>‐</v>
      </c>
      <c r="X210" s="14" t="str">
        <f ca="1"/>
        <v>‐</v>
      </c>
      <c r="Z210" s="14" t="str">
        <v>風</v>
      </c>
    </row>
    <row r="211" spans="1:26" ht="15.75" customHeight="1" x14ac:dyDescent="0.25">
      <c r="A211" s="11" t="s">
        <v>355</v>
      </c>
      <c r="B211" s="10" t="s">
        <v>356</v>
      </c>
      <c r="C211" s="6" t="s">
        <v>20</v>
      </c>
      <c r="D211" s="6" t="s">
        <v>32</v>
      </c>
      <c r="E211" s="6" t="s">
        <v>29</v>
      </c>
      <c r="F211" s="6">
        <v>2</v>
      </c>
      <c r="G211" s="15">
        <v>6733</v>
      </c>
      <c r="H211" s="15">
        <v>890</v>
      </c>
      <c r="I211" s="15">
        <v>538</v>
      </c>
      <c r="J211" s="15">
        <v>515</v>
      </c>
      <c r="K211" s="6">
        <v>1</v>
      </c>
      <c r="L211" s="6"/>
      <c r="M211" s="6" t="s">
        <v>17</v>
      </c>
      <c r="N211" s="6">
        <v>183</v>
      </c>
      <c r="O211" s="6" t="s">
        <v>475</v>
      </c>
      <c r="P211" s="7" t="s">
        <v>249</v>
      </c>
      <c r="Q211" s="6" t="s">
        <v>249</v>
      </c>
      <c r="S211" s="14" t="str">
        <f ca="1">IFERROR(__xludf.DUMMYFUNCTION("""COMPUTED_VALUE"""),"アマイモン")</f>
        <v>アマイモン</v>
      </c>
      <c r="T211" s="14" t="str">
        <f ca="1"/>
        <v>男性</v>
      </c>
      <c r="U211" s="14">
        <f ca="1"/>
        <v>183</v>
      </c>
      <c r="V211" s="14" t="str">
        <f ca="1"/>
        <v>不明</v>
      </c>
      <c r="W211" s="8" t="str">
        <f ca="1"/>
        <v>‐</v>
      </c>
      <c r="X211" s="14" t="str">
        <f ca="1"/>
        <v>‐</v>
      </c>
      <c r="Z211" s="14" t="str">
        <v>地</v>
      </c>
    </row>
    <row r="212" spans="1:26" ht="15.75" customHeight="1" x14ac:dyDescent="0.25">
      <c r="A212" s="11" t="s">
        <v>355</v>
      </c>
      <c r="B212" s="9" t="s">
        <v>357</v>
      </c>
      <c r="C212" s="6" t="s">
        <v>20</v>
      </c>
      <c r="D212" s="6" t="s">
        <v>21</v>
      </c>
      <c r="E212" s="6" t="s">
        <v>29</v>
      </c>
      <c r="F212" s="6">
        <v>4</v>
      </c>
      <c r="G212" s="15">
        <v>5997</v>
      </c>
      <c r="H212" s="15">
        <v>1354</v>
      </c>
      <c r="I212" s="15">
        <v>429</v>
      </c>
      <c r="J212" s="15">
        <v>503</v>
      </c>
      <c r="K212" s="6">
        <v>1</v>
      </c>
      <c r="L212" s="6"/>
      <c r="M212" s="6" t="s">
        <v>17</v>
      </c>
      <c r="N212" s="6">
        <v>183</v>
      </c>
      <c r="O212" s="6" t="s">
        <v>475</v>
      </c>
      <c r="P212" s="7" t="s">
        <v>249</v>
      </c>
      <c r="Q212" s="6" t="s">
        <v>249</v>
      </c>
      <c r="S212" s="14" t="str">
        <f ca="1">IFERROR(__xludf.DUMMYFUNCTION("""COMPUTED_VALUE"""),"アマイモン")</f>
        <v>アマイモン</v>
      </c>
      <c r="T212" s="14" t="str">
        <f ca="1"/>
        <v>男性</v>
      </c>
      <c r="U212" s="14">
        <f ca="1"/>
        <v>183</v>
      </c>
      <c r="V212" s="14" t="str">
        <f ca="1"/>
        <v>不明</v>
      </c>
      <c r="W212" s="8" t="str">
        <f ca="1"/>
        <v>‐</v>
      </c>
      <c r="X212" s="14" t="str">
        <f ca="1"/>
        <v>‐</v>
      </c>
      <c r="Z212" s="14" t="str">
        <v>地</v>
      </c>
    </row>
    <row r="213" spans="1:26" ht="15.75" customHeight="1" x14ac:dyDescent="0.25">
      <c r="A213" s="11" t="s">
        <v>358</v>
      </c>
      <c r="B213" s="5" t="s">
        <v>359</v>
      </c>
      <c r="C213" s="6" t="s">
        <v>24</v>
      </c>
      <c r="D213" s="6" t="s">
        <v>15</v>
      </c>
      <c r="E213" s="6" t="s">
        <v>29</v>
      </c>
      <c r="F213" s="6">
        <v>4</v>
      </c>
      <c r="G213" s="15">
        <v>7270</v>
      </c>
      <c r="H213" s="15">
        <v>1133</v>
      </c>
      <c r="I213" s="15">
        <v>468</v>
      </c>
      <c r="J213" s="15">
        <v>483</v>
      </c>
      <c r="K213" s="6">
        <v>1</v>
      </c>
      <c r="L213" s="6"/>
      <c r="M213" s="6" t="s">
        <v>17</v>
      </c>
      <c r="N213" s="6">
        <v>190</v>
      </c>
      <c r="O213" s="6" t="s">
        <v>475</v>
      </c>
      <c r="P213" s="7" t="s">
        <v>249</v>
      </c>
      <c r="Q213" s="6" t="s">
        <v>249</v>
      </c>
      <c r="S213" s="14" t="str">
        <f ca="1">IFERROR(__xludf.DUMMYFUNCTION("""COMPUTED_VALUE"""),"ルキフゲス")</f>
        <v>ルキフゲス</v>
      </c>
      <c r="T213" s="14" t="str">
        <f ca="1"/>
        <v>男性</v>
      </c>
      <c r="U213" s="14">
        <f ca="1"/>
        <v>190</v>
      </c>
      <c r="V213" s="14" t="str">
        <f ca="1"/>
        <v>不明</v>
      </c>
      <c r="W213" s="8" t="str">
        <f ca="1"/>
        <v>‐</v>
      </c>
      <c r="X213" s="14" t="str">
        <f ca="1"/>
        <v>‐</v>
      </c>
      <c r="Z213" s="14" t="str">
        <v>地</v>
      </c>
    </row>
    <row r="214" spans="1:26" ht="15.75" customHeight="1" x14ac:dyDescent="0.25">
      <c r="A214" s="11" t="s">
        <v>360</v>
      </c>
      <c r="B214" s="5" t="s">
        <v>361</v>
      </c>
      <c r="C214" s="6" t="s">
        <v>14</v>
      </c>
      <c r="D214" s="6" t="s">
        <v>15</v>
      </c>
      <c r="E214" s="6" t="s">
        <v>16</v>
      </c>
      <c r="F214" s="6">
        <v>6</v>
      </c>
      <c r="G214" s="15">
        <v>6503</v>
      </c>
      <c r="H214" s="15">
        <v>763</v>
      </c>
      <c r="I214" s="15">
        <v>618</v>
      </c>
      <c r="J214" s="15">
        <v>608</v>
      </c>
      <c r="K214" s="6">
        <v>1</v>
      </c>
      <c r="L214" s="6"/>
      <c r="M214" s="6" t="s">
        <v>30</v>
      </c>
      <c r="N214" s="6">
        <v>163</v>
      </c>
      <c r="O214" s="6" t="s">
        <v>475</v>
      </c>
      <c r="P214" s="7" t="s">
        <v>249</v>
      </c>
      <c r="Q214" s="6" t="s">
        <v>249</v>
      </c>
      <c r="S214" s="14" t="str">
        <f ca="1">IFERROR(__xludf.DUMMYFUNCTION("""COMPUTED_VALUE"""),"サルガタナス")</f>
        <v>サルガタナス</v>
      </c>
      <c r="T214" s="14" t="str">
        <f ca="1"/>
        <v>女性</v>
      </c>
      <c r="U214" s="14">
        <f ca="1"/>
        <v>163</v>
      </c>
      <c r="V214" s="14" t="str">
        <f ca="1"/>
        <v>不明</v>
      </c>
      <c r="W214" s="8" t="str">
        <f ca="1"/>
        <v>‐</v>
      </c>
      <c r="X214" s="14" t="str">
        <f ca="1"/>
        <v>‐</v>
      </c>
      <c r="Z214" s="14" t="str">
        <v>氷</v>
      </c>
    </row>
    <row r="215" spans="1:26" ht="15.75" customHeight="1" x14ac:dyDescent="0.25">
      <c r="A215" s="11" t="s">
        <v>362</v>
      </c>
      <c r="B215" s="5" t="s">
        <v>363</v>
      </c>
      <c r="C215" s="6" t="s">
        <v>259</v>
      </c>
      <c r="D215" s="6" t="s">
        <v>15</v>
      </c>
      <c r="E215" s="6" t="s">
        <v>29</v>
      </c>
      <c r="F215" s="6">
        <v>6</v>
      </c>
      <c r="G215" s="15">
        <v>7970</v>
      </c>
      <c r="H215" s="15">
        <v>1141</v>
      </c>
      <c r="I215" s="15">
        <v>457</v>
      </c>
      <c r="J215" s="15">
        <v>493</v>
      </c>
      <c r="K215" s="6">
        <v>1</v>
      </c>
      <c r="L215" s="6"/>
      <c r="M215" s="6" t="s">
        <v>17</v>
      </c>
      <c r="N215" s="6">
        <v>164</v>
      </c>
      <c r="O215" s="6" t="s">
        <v>475</v>
      </c>
      <c r="P215" s="7" t="s">
        <v>249</v>
      </c>
      <c r="Q215" s="6" t="s">
        <v>249</v>
      </c>
      <c r="S215" s="14" t="str">
        <f ca="1">IFERROR(__xludf.DUMMYFUNCTION("""COMPUTED_VALUE"""),"タムス")</f>
        <v>タムス</v>
      </c>
      <c r="T215" s="14" t="str">
        <f ca="1"/>
        <v>男性</v>
      </c>
      <c r="U215" s="14">
        <f ca="1"/>
        <v>164</v>
      </c>
      <c r="V215" s="14" t="str">
        <f ca="1"/>
        <v>不明</v>
      </c>
      <c r="W215" s="8" t="str">
        <f ca="1"/>
        <v>‐</v>
      </c>
      <c r="X215" s="14" t="str">
        <f ca="1"/>
        <v>‐</v>
      </c>
      <c r="Z215" s="14" t="str">
        <v>火</v>
      </c>
    </row>
    <row r="216" spans="1:26" ht="15.75" customHeight="1" x14ac:dyDescent="0.25">
      <c r="A216" s="11" t="s">
        <v>364</v>
      </c>
      <c r="B216" s="5" t="s">
        <v>365</v>
      </c>
      <c r="C216" s="6" t="s">
        <v>259</v>
      </c>
      <c r="D216" s="6" t="s">
        <v>15</v>
      </c>
      <c r="E216" s="6" t="s">
        <v>29</v>
      </c>
      <c r="F216" s="6">
        <v>6</v>
      </c>
      <c r="G216" s="15">
        <v>6328</v>
      </c>
      <c r="H216" s="15">
        <v>1385</v>
      </c>
      <c r="I216" s="15">
        <v>400</v>
      </c>
      <c r="J216" s="15">
        <v>500</v>
      </c>
      <c r="K216" s="6">
        <v>1</v>
      </c>
      <c r="L216" s="6"/>
      <c r="M216" s="6" t="s">
        <v>17</v>
      </c>
      <c r="N216" s="6">
        <v>180</v>
      </c>
      <c r="O216" s="6">
        <v>70</v>
      </c>
      <c r="P216" s="7">
        <v>45175</v>
      </c>
      <c r="Q216" s="6" t="s">
        <v>511</v>
      </c>
      <c r="S216" s="14" t="str">
        <f ca="1">IFERROR(__xludf.DUMMYFUNCTION("""COMPUTED_VALUE"""),"チェルノボグ")</f>
        <v>チェルノボグ</v>
      </c>
      <c r="T216" s="14" t="str">
        <f ca="1"/>
        <v>男性</v>
      </c>
      <c r="U216" s="14">
        <f ca="1"/>
        <v>180</v>
      </c>
      <c r="V216" s="14">
        <f ca="1"/>
        <v>70</v>
      </c>
      <c r="W216" s="8">
        <f ca="1"/>
        <v>45175</v>
      </c>
      <c r="X216" s="14" t="str">
        <f ca="1"/>
        <v>オブラ</v>
      </c>
      <c r="Z216" s="14" t="str">
        <v>氷</v>
      </c>
    </row>
    <row r="217" spans="1:26" ht="15.75" customHeight="1" x14ac:dyDescent="0.25">
      <c r="A217" s="11" t="s">
        <v>366</v>
      </c>
      <c r="B217" s="9" t="s">
        <v>367</v>
      </c>
      <c r="C217" s="6" t="s">
        <v>20</v>
      </c>
      <c r="D217" s="6" t="s">
        <v>21</v>
      </c>
      <c r="E217" s="6" t="s">
        <v>29</v>
      </c>
      <c r="F217" s="6">
        <v>4</v>
      </c>
      <c r="G217" s="15">
        <v>8444</v>
      </c>
      <c r="H217" s="15">
        <v>700</v>
      </c>
      <c r="I217" s="15">
        <v>700</v>
      </c>
      <c r="J217" s="15">
        <v>410</v>
      </c>
      <c r="K217" s="6">
        <v>1</v>
      </c>
      <c r="L217" s="6"/>
      <c r="M217" s="6" t="s">
        <v>17</v>
      </c>
      <c r="N217" s="6">
        <v>131</v>
      </c>
      <c r="O217" s="6" t="s">
        <v>475</v>
      </c>
      <c r="P217" s="7" t="s">
        <v>249</v>
      </c>
      <c r="Q217" s="6" t="s">
        <v>249</v>
      </c>
      <c r="S217" s="14" t="str">
        <f ca="1">IFERROR(__xludf.DUMMYFUNCTION("""COMPUTED_VALUE"""),"アガシオン")</f>
        <v>アガシオン</v>
      </c>
      <c r="T217" s="14" t="str">
        <f ca="1"/>
        <v>男性</v>
      </c>
      <c r="U217" s="14">
        <f ca="1"/>
        <v>131</v>
      </c>
      <c r="V217" s="14" t="str">
        <f ca="1"/>
        <v>不明</v>
      </c>
      <c r="W217" s="8" t="str">
        <f ca="1"/>
        <v>‐</v>
      </c>
      <c r="X217" s="14" t="str">
        <f ca="1"/>
        <v>‐</v>
      </c>
      <c r="Z217" s="14" t="str">
        <v>氷</v>
      </c>
    </row>
    <row r="218" spans="1:26" ht="15.75" customHeight="1" x14ac:dyDescent="0.25">
      <c r="A218" s="11" t="s">
        <v>368</v>
      </c>
      <c r="B218" s="5" t="s">
        <v>369</v>
      </c>
      <c r="C218" s="6" t="s">
        <v>259</v>
      </c>
      <c r="D218" s="6" t="s">
        <v>15</v>
      </c>
      <c r="E218" s="6" t="s">
        <v>16</v>
      </c>
      <c r="F218" s="6">
        <v>5</v>
      </c>
      <c r="G218" s="15">
        <v>6442</v>
      </c>
      <c r="H218" s="15">
        <v>1366</v>
      </c>
      <c r="I218" s="15">
        <v>438</v>
      </c>
      <c r="J218" s="15">
        <v>405</v>
      </c>
      <c r="K218" s="6">
        <v>1</v>
      </c>
      <c r="L218" s="6"/>
      <c r="M218" s="6" t="s">
        <v>30</v>
      </c>
      <c r="N218" s="6">
        <v>173</v>
      </c>
      <c r="O218" s="6" t="s">
        <v>475</v>
      </c>
      <c r="P218" s="7" t="s">
        <v>512</v>
      </c>
      <c r="Q218" s="6" t="s">
        <v>482</v>
      </c>
      <c r="S218" s="14" t="str">
        <f ca="1">IFERROR(__xludf.DUMMYFUNCTION("""COMPUTED_VALUE"""),"ヴェルドレ")</f>
        <v>ヴェルドレ</v>
      </c>
      <c r="T218" s="14" t="str">
        <f ca="1"/>
        <v>女性</v>
      </c>
      <c r="U218" s="14">
        <f ca="1"/>
        <v>173</v>
      </c>
      <c r="V218" s="14" t="str">
        <f ca="1"/>
        <v>不明</v>
      </c>
      <c r="W218" s="8" t="str">
        <f ca="1"/>
        <v>未公開</v>
      </c>
      <c r="X218" s="14" t="str">
        <f ca="1"/>
        <v>（忘却）</v>
      </c>
      <c r="Z218" s="14" t="str">
        <v>火</v>
      </c>
    </row>
    <row r="219" spans="1:26" ht="15.75" customHeight="1" x14ac:dyDescent="0.25">
      <c r="A219" s="11" t="s">
        <v>370</v>
      </c>
      <c r="B219" s="10" t="s">
        <v>371</v>
      </c>
      <c r="C219" s="6" t="s">
        <v>14</v>
      </c>
      <c r="D219" s="6" t="s">
        <v>32</v>
      </c>
      <c r="E219" s="6" t="s">
        <v>16</v>
      </c>
      <c r="F219" s="6">
        <v>3</v>
      </c>
      <c r="G219" s="15">
        <v>6982</v>
      </c>
      <c r="H219" s="15">
        <v>927</v>
      </c>
      <c r="I219" s="15">
        <v>479</v>
      </c>
      <c r="J219" s="15">
        <v>624</v>
      </c>
      <c r="K219" s="6">
        <v>1</v>
      </c>
      <c r="L219" s="6"/>
      <c r="M219" s="6" t="s">
        <v>17</v>
      </c>
      <c r="N219" s="6">
        <v>129</v>
      </c>
      <c r="O219" s="6" t="s">
        <v>475</v>
      </c>
      <c r="P219" s="7" t="s">
        <v>249</v>
      </c>
      <c r="Q219" s="6" t="s">
        <v>249</v>
      </c>
      <c r="S219" s="14" t="str">
        <f ca="1">IFERROR(__xludf.DUMMYFUNCTION("""COMPUTED_VALUE"""),"ウトゥック")</f>
        <v>ウトゥック</v>
      </c>
      <c r="T219" s="14" t="str">
        <f ca="1"/>
        <v>男性</v>
      </c>
      <c r="U219" s="14">
        <f ca="1"/>
        <v>129</v>
      </c>
      <c r="V219" s="14" t="str">
        <f ca="1"/>
        <v>不明</v>
      </c>
      <c r="W219" s="8" t="str">
        <f ca="1"/>
        <v>‐</v>
      </c>
      <c r="X219" s="14" t="str">
        <f ca="1"/>
        <v>‐</v>
      </c>
      <c r="Z219" s="14" t="str">
        <v>地</v>
      </c>
    </row>
    <row r="220" spans="1:26" ht="15.75" customHeight="1" x14ac:dyDescent="0.25">
      <c r="A220" s="11" t="s">
        <v>372</v>
      </c>
      <c r="B220" s="5" t="s">
        <v>373</v>
      </c>
      <c r="C220" s="6" t="s">
        <v>24</v>
      </c>
      <c r="D220" s="6" t="s">
        <v>15</v>
      </c>
      <c r="E220" s="6" t="s">
        <v>62</v>
      </c>
      <c r="F220" s="6">
        <v>4</v>
      </c>
      <c r="G220" s="15">
        <v>8189</v>
      </c>
      <c r="H220" s="15">
        <v>838</v>
      </c>
      <c r="I220" s="15">
        <v>459</v>
      </c>
      <c r="J220" s="15">
        <v>630</v>
      </c>
      <c r="K220" s="6">
        <v>1</v>
      </c>
      <c r="L220" s="6"/>
      <c r="M220" s="6" t="s">
        <v>30</v>
      </c>
      <c r="N220" s="6">
        <v>179</v>
      </c>
      <c r="O220" s="6" t="s">
        <v>475</v>
      </c>
      <c r="P220" s="7" t="s">
        <v>249</v>
      </c>
      <c r="Q220" s="6" t="s">
        <v>249</v>
      </c>
      <c r="S220" s="14" t="str">
        <f ca="1">IFERROR(__xludf.DUMMYFUNCTION("""COMPUTED_VALUE"""),"サタナイル")</f>
        <v>サタナイル</v>
      </c>
      <c r="T220" s="14" t="str">
        <f ca="1"/>
        <v>女性</v>
      </c>
      <c r="U220" s="14">
        <f ca="1"/>
        <v>179</v>
      </c>
      <c r="V220" s="14" t="str">
        <f ca="1"/>
        <v>不明</v>
      </c>
      <c r="W220" s="8" t="str">
        <f ca="1"/>
        <v>‐</v>
      </c>
      <c r="X220" s="14" t="str">
        <f ca="1"/>
        <v>‐</v>
      </c>
      <c r="Z220" s="14" t="str">
        <v>水</v>
      </c>
    </row>
    <row r="221" spans="1:26" ht="15.75" customHeight="1" x14ac:dyDescent="0.25">
      <c r="A221" s="11" t="s">
        <v>374</v>
      </c>
      <c r="B221" s="10" t="s">
        <v>375</v>
      </c>
      <c r="C221" s="6" t="s">
        <v>20</v>
      </c>
      <c r="D221" s="6" t="s">
        <v>32</v>
      </c>
      <c r="E221" s="6" t="s">
        <v>29</v>
      </c>
      <c r="F221" s="6">
        <v>3</v>
      </c>
      <c r="G221" s="15">
        <v>8026</v>
      </c>
      <c r="H221" s="15">
        <v>996</v>
      </c>
      <c r="I221" s="15">
        <v>460</v>
      </c>
      <c r="J221" s="15">
        <v>474</v>
      </c>
      <c r="K221" s="6">
        <v>1</v>
      </c>
      <c r="L221" s="6"/>
      <c r="M221" s="6" t="s">
        <v>17</v>
      </c>
      <c r="N221" s="6">
        <v>185</v>
      </c>
      <c r="O221" s="6" t="s">
        <v>475</v>
      </c>
      <c r="P221" s="7">
        <v>45090</v>
      </c>
      <c r="Q221" s="6" t="s">
        <v>513</v>
      </c>
      <c r="S221" s="14" t="str">
        <f ca="1">IFERROR(__xludf.DUMMYFUNCTION("""COMPUTED_VALUE"""),"シャミハザ")</f>
        <v>シャミハザ</v>
      </c>
      <c r="T221" s="14" t="str">
        <f ca="1"/>
        <v>男性</v>
      </c>
      <c r="U221" s="14">
        <f ca="1"/>
        <v>185</v>
      </c>
      <c r="V221" s="14" t="str">
        <f ca="1"/>
        <v>不明</v>
      </c>
      <c r="W221" s="8">
        <f ca="1"/>
        <v>45090</v>
      </c>
      <c r="X221" s="14" t="str">
        <f ca="1"/>
        <v>ジルベール</v>
      </c>
      <c r="Z221" s="14" t="str">
        <v>水</v>
      </c>
    </row>
    <row r="222" spans="1:26" ht="15.75" customHeight="1" x14ac:dyDescent="0.25">
      <c r="A222" s="11" t="s">
        <v>374</v>
      </c>
      <c r="B222" s="9" t="s">
        <v>376</v>
      </c>
      <c r="C222" s="6" t="s">
        <v>24</v>
      </c>
      <c r="D222" s="6" t="s">
        <v>21</v>
      </c>
      <c r="E222" s="6" t="s">
        <v>29</v>
      </c>
      <c r="F222" s="6">
        <v>4</v>
      </c>
      <c r="G222" s="15">
        <v>5786</v>
      </c>
      <c r="H222" s="15">
        <v>1221</v>
      </c>
      <c r="I222" s="15">
        <v>427</v>
      </c>
      <c r="J222" s="15">
        <v>619</v>
      </c>
      <c r="K222" s="6">
        <v>1</v>
      </c>
      <c r="L222" s="6"/>
      <c r="M222" s="6" t="s">
        <v>17</v>
      </c>
      <c r="N222" s="6">
        <v>185</v>
      </c>
      <c r="O222" s="6" t="s">
        <v>475</v>
      </c>
      <c r="P222" s="7">
        <v>45090</v>
      </c>
      <c r="Q222" s="6" t="s">
        <v>513</v>
      </c>
      <c r="S222" s="14" t="str">
        <f ca="1">IFERROR(__xludf.DUMMYFUNCTION("""COMPUTED_VALUE"""),"シャミハザ")</f>
        <v>シャミハザ</v>
      </c>
      <c r="T222" s="14" t="str">
        <f ca="1"/>
        <v>男性</v>
      </c>
      <c r="U222" s="14">
        <f ca="1"/>
        <v>185</v>
      </c>
      <c r="V222" s="14" t="str">
        <f ca="1"/>
        <v>不明</v>
      </c>
      <c r="W222" s="8">
        <f ca="1"/>
        <v>45090</v>
      </c>
      <c r="X222" s="14" t="str">
        <f ca="1"/>
        <v>ジルベール</v>
      </c>
      <c r="Z222" s="14" t="str">
        <v>水</v>
      </c>
    </row>
    <row r="223" spans="1:26" ht="15.75" customHeight="1" x14ac:dyDescent="0.25">
      <c r="A223" s="11" t="s">
        <v>377</v>
      </c>
      <c r="B223" s="5" t="s">
        <v>378</v>
      </c>
      <c r="C223" s="6" t="s">
        <v>20</v>
      </c>
      <c r="D223" s="6" t="s">
        <v>15</v>
      </c>
      <c r="E223" s="6" t="s">
        <v>29</v>
      </c>
      <c r="F223" s="6">
        <v>4</v>
      </c>
      <c r="G223" s="15">
        <v>7771</v>
      </c>
      <c r="H223" s="15">
        <v>1219</v>
      </c>
      <c r="I223" s="15">
        <v>419</v>
      </c>
      <c r="J223" s="15">
        <v>450</v>
      </c>
      <c r="K223" s="6">
        <v>1</v>
      </c>
      <c r="L223" s="6"/>
      <c r="M223" s="6" t="s">
        <v>30</v>
      </c>
      <c r="N223" s="6">
        <v>164</v>
      </c>
      <c r="O223" s="6" t="s">
        <v>509</v>
      </c>
      <c r="P223" s="7" t="s">
        <v>249</v>
      </c>
      <c r="Q223" s="6" t="s">
        <v>249</v>
      </c>
      <c r="S223" s="14" t="str">
        <f ca="1">IFERROR(__xludf.DUMMYFUNCTION("""COMPUTED_VALUE"""),"プルフラス")</f>
        <v>プルフラス</v>
      </c>
      <c r="T223" s="14" t="str">
        <f ca="1"/>
        <v>女性</v>
      </c>
      <c r="U223" s="14">
        <f ca="1"/>
        <v>164</v>
      </c>
      <c r="V223" s="14" t="str">
        <f ca="1"/>
        <v>100↓</v>
      </c>
      <c r="W223" s="8" t="str">
        <f ca="1"/>
        <v>‐</v>
      </c>
      <c r="X223" s="14" t="str">
        <f ca="1"/>
        <v>‐</v>
      </c>
      <c r="Z223" s="14" t="str">
        <v>雷</v>
      </c>
    </row>
    <row r="224" spans="1:26" ht="15.75" customHeight="1" x14ac:dyDescent="0.25">
      <c r="A224" s="11" t="s">
        <v>377</v>
      </c>
      <c r="B224" s="10" t="s">
        <v>379</v>
      </c>
      <c r="C224" s="6" t="s">
        <v>24</v>
      </c>
      <c r="D224" s="6" t="s">
        <v>32</v>
      </c>
      <c r="E224" s="6" t="s">
        <v>29</v>
      </c>
      <c r="F224" s="6">
        <v>4</v>
      </c>
      <c r="G224" s="15">
        <v>7528</v>
      </c>
      <c r="H224" s="15">
        <v>1209</v>
      </c>
      <c r="I224" s="15">
        <v>414</v>
      </c>
      <c r="J224" s="15">
        <v>498</v>
      </c>
      <c r="K224" s="6">
        <v>1</v>
      </c>
      <c r="L224" s="6"/>
      <c r="M224" s="6" t="s">
        <v>30</v>
      </c>
      <c r="N224" s="6">
        <v>164</v>
      </c>
      <c r="O224" s="6" t="s">
        <v>509</v>
      </c>
      <c r="P224" s="7" t="s">
        <v>249</v>
      </c>
      <c r="Q224" s="6" t="s">
        <v>249</v>
      </c>
      <c r="S224" s="14" t="str">
        <f ca="1">IFERROR(__xludf.DUMMYFUNCTION("""COMPUTED_VALUE"""),"プルフラス")</f>
        <v>プルフラス</v>
      </c>
      <c r="T224" s="14" t="str">
        <f ca="1"/>
        <v>女性</v>
      </c>
      <c r="U224" s="14">
        <f ca="1"/>
        <v>164</v>
      </c>
      <c r="V224" s="14" t="str">
        <f ca="1"/>
        <v>100↓</v>
      </c>
      <c r="W224" s="8" t="str">
        <f ca="1"/>
        <v>‐</v>
      </c>
      <c r="X224" s="14" t="str">
        <f ca="1"/>
        <v>‐</v>
      </c>
      <c r="Z224" s="14" t="str">
        <v>雷</v>
      </c>
    </row>
    <row r="225" spans="1:26" ht="15.75" customHeight="1" x14ac:dyDescent="0.25">
      <c r="A225" s="11" t="s">
        <v>380</v>
      </c>
      <c r="B225" s="10" t="s">
        <v>381</v>
      </c>
      <c r="C225" s="6" t="s">
        <v>20</v>
      </c>
      <c r="D225" s="6" t="s">
        <v>32</v>
      </c>
      <c r="E225" s="6" t="s">
        <v>16</v>
      </c>
      <c r="F225" s="6">
        <v>3</v>
      </c>
      <c r="G225" s="15">
        <v>7004</v>
      </c>
      <c r="H225" s="15">
        <v>1309</v>
      </c>
      <c r="I225" s="15">
        <v>397</v>
      </c>
      <c r="J225" s="15">
        <v>514</v>
      </c>
      <c r="K225" s="6">
        <v>1</v>
      </c>
      <c r="L225" s="6"/>
      <c r="M225" s="6" t="s">
        <v>30</v>
      </c>
      <c r="N225" s="6">
        <v>128</v>
      </c>
      <c r="O225" s="6" t="s">
        <v>475</v>
      </c>
      <c r="P225" s="7">
        <v>45235</v>
      </c>
      <c r="Q225" s="6" t="s">
        <v>514</v>
      </c>
      <c r="S225" s="14" t="str">
        <f ca="1">IFERROR(__xludf.DUMMYFUNCTION("""COMPUTED_VALUE"""),"ジズ")</f>
        <v>ジズ</v>
      </c>
      <c r="T225" s="14" t="str">
        <f ca="1"/>
        <v>女性</v>
      </c>
      <c r="U225" s="14">
        <f ca="1"/>
        <v>128</v>
      </c>
      <c r="V225" s="14" t="str">
        <f ca="1"/>
        <v>不明</v>
      </c>
      <c r="W225" s="8">
        <f ca="1"/>
        <v>45235</v>
      </c>
      <c r="X225" s="14" t="str">
        <f ca="1"/>
        <v>（改名）</v>
      </c>
      <c r="Z225" s="14" t="str">
        <v>風</v>
      </c>
    </row>
    <row r="226" spans="1:26" ht="15.75" customHeight="1" x14ac:dyDescent="0.25">
      <c r="A226" s="11" t="s">
        <v>380</v>
      </c>
      <c r="B226" s="5" t="s">
        <v>382</v>
      </c>
      <c r="C226" s="6" t="s">
        <v>24</v>
      </c>
      <c r="D226" s="6" t="s">
        <v>15</v>
      </c>
      <c r="E226" s="6" t="s">
        <v>16</v>
      </c>
      <c r="F226" s="6">
        <v>5</v>
      </c>
      <c r="G226" s="15">
        <v>5955</v>
      </c>
      <c r="H226" s="15">
        <v>840</v>
      </c>
      <c r="I226" s="15">
        <v>494</v>
      </c>
      <c r="J226" s="15">
        <v>687</v>
      </c>
      <c r="K226" s="6">
        <v>1</v>
      </c>
      <c r="L226" s="6"/>
      <c r="M226" s="6" t="s">
        <v>30</v>
      </c>
      <c r="N226" s="6">
        <v>128</v>
      </c>
      <c r="O226" s="6" t="s">
        <v>475</v>
      </c>
      <c r="P226" s="7">
        <v>45235</v>
      </c>
      <c r="Q226" s="6" t="s">
        <v>514</v>
      </c>
      <c r="S226" s="14" t="str">
        <f ca="1">IFERROR(__xludf.DUMMYFUNCTION("""COMPUTED_VALUE"""),"ジズ")</f>
        <v>ジズ</v>
      </c>
      <c r="T226" s="14" t="str">
        <f ca="1"/>
        <v>女性</v>
      </c>
      <c r="U226" s="14">
        <f ca="1"/>
        <v>128</v>
      </c>
      <c r="V226" s="14" t="str">
        <f ca="1"/>
        <v>不明</v>
      </c>
      <c r="W226" s="8">
        <f ca="1"/>
        <v>45235</v>
      </c>
      <c r="X226" s="14" t="str">
        <f ca="1"/>
        <v>（改名）</v>
      </c>
      <c r="Z226" s="14" t="str">
        <v>風</v>
      </c>
    </row>
    <row r="227" spans="1:26" ht="15.75" customHeight="1" x14ac:dyDescent="0.25">
      <c r="A227" s="11" t="s">
        <v>383</v>
      </c>
      <c r="B227" s="9" t="s">
        <v>384</v>
      </c>
      <c r="C227" s="6" t="s">
        <v>20</v>
      </c>
      <c r="D227" s="6" t="s">
        <v>21</v>
      </c>
      <c r="E227" s="6" t="s">
        <v>62</v>
      </c>
      <c r="F227" s="6">
        <v>4</v>
      </c>
      <c r="G227" s="15">
        <v>7272</v>
      </c>
      <c r="H227" s="15">
        <v>719</v>
      </c>
      <c r="I227" s="15">
        <v>611</v>
      </c>
      <c r="J227" s="15">
        <v>610</v>
      </c>
      <c r="K227" s="6">
        <v>1</v>
      </c>
      <c r="L227" s="6"/>
      <c r="M227" s="6" t="s">
        <v>30</v>
      </c>
      <c r="N227" s="6">
        <v>155</v>
      </c>
      <c r="O227" s="6" t="s">
        <v>509</v>
      </c>
      <c r="P227" s="7" t="s">
        <v>249</v>
      </c>
      <c r="Q227" s="6" t="s">
        <v>249</v>
      </c>
      <c r="S227" s="14" t="str">
        <f ca="1">IFERROR(__xludf.DUMMYFUNCTION("""COMPUTED_VALUE"""),"ベバル")</f>
        <v>ベバル</v>
      </c>
      <c r="T227" s="14" t="str">
        <f ca="1"/>
        <v>女性</v>
      </c>
      <c r="U227" s="14">
        <f ca="1"/>
        <v>155</v>
      </c>
      <c r="V227" s="14" t="str">
        <f ca="1"/>
        <v>100↓</v>
      </c>
      <c r="W227" s="8" t="str">
        <f ca="1"/>
        <v>‐</v>
      </c>
      <c r="X227" s="14" t="str">
        <f ca="1"/>
        <v>‐</v>
      </c>
      <c r="Z227" s="14" t="str">
        <v>火</v>
      </c>
    </row>
    <row r="228" spans="1:26" ht="15.75" customHeight="1" x14ac:dyDescent="0.25">
      <c r="A228" s="11" t="s">
        <v>383</v>
      </c>
      <c r="B228" s="5" t="s">
        <v>385</v>
      </c>
      <c r="C228" s="6" t="s">
        <v>20</v>
      </c>
      <c r="D228" s="6" t="s">
        <v>15</v>
      </c>
      <c r="E228" s="6" t="s">
        <v>62</v>
      </c>
      <c r="F228" s="6">
        <v>5</v>
      </c>
      <c r="G228" s="15">
        <v>7228</v>
      </c>
      <c r="H228" s="15">
        <v>789</v>
      </c>
      <c r="I228" s="15">
        <v>617</v>
      </c>
      <c r="J228" s="15">
        <v>504</v>
      </c>
      <c r="K228" s="6">
        <v>1</v>
      </c>
      <c r="L228" s="6"/>
      <c r="M228" s="6" t="s">
        <v>30</v>
      </c>
      <c r="N228" s="6">
        <v>155</v>
      </c>
      <c r="O228" s="6" t="s">
        <v>509</v>
      </c>
      <c r="P228" s="7" t="s">
        <v>249</v>
      </c>
      <c r="Q228" s="6" t="s">
        <v>249</v>
      </c>
      <c r="S228" s="14" t="str">
        <f ca="1">IFERROR(__xludf.DUMMYFUNCTION("""COMPUTED_VALUE"""),"ベバル")</f>
        <v>ベバル</v>
      </c>
      <c r="T228" s="14" t="str">
        <f ca="1"/>
        <v>女性</v>
      </c>
      <c r="U228" s="14">
        <f ca="1"/>
        <v>155</v>
      </c>
      <c r="V228" s="14" t="str">
        <f ca="1"/>
        <v>100↓</v>
      </c>
      <c r="W228" s="8" t="str">
        <f ca="1"/>
        <v>‐</v>
      </c>
      <c r="X228" s="14" t="str">
        <f ca="1"/>
        <v>‐</v>
      </c>
      <c r="Z228" s="14" t="str">
        <v>火</v>
      </c>
    </row>
    <row r="229" spans="1:26" ht="15.75" customHeight="1" x14ac:dyDescent="0.25">
      <c r="A229" s="11" t="s">
        <v>386</v>
      </c>
      <c r="B229" s="9" t="s">
        <v>387</v>
      </c>
      <c r="C229" s="6" t="s">
        <v>20</v>
      </c>
      <c r="D229" s="6" t="s">
        <v>21</v>
      </c>
      <c r="E229" s="6" t="s">
        <v>16</v>
      </c>
      <c r="F229" s="6">
        <v>4</v>
      </c>
      <c r="G229" s="15">
        <v>7113</v>
      </c>
      <c r="H229" s="15">
        <v>1179</v>
      </c>
      <c r="I229" s="15">
        <v>412</v>
      </c>
      <c r="J229" s="15">
        <v>515</v>
      </c>
      <c r="K229" s="6">
        <v>1</v>
      </c>
      <c r="L229" s="6"/>
      <c r="M229" s="6" t="s">
        <v>17</v>
      </c>
      <c r="N229" s="6">
        <v>146</v>
      </c>
      <c r="O229" s="6" t="s">
        <v>509</v>
      </c>
      <c r="P229" s="7" t="s">
        <v>249</v>
      </c>
      <c r="Q229" s="6" t="s">
        <v>249</v>
      </c>
      <c r="S229" s="14" t="str">
        <f ca="1">IFERROR(__xludf.DUMMYFUNCTION("""COMPUTED_VALUE"""),"アバラム")</f>
        <v>アバラム</v>
      </c>
      <c r="T229" s="14" t="str">
        <f ca="1"/>
        <v>男性</v>
      </c>
      <c r="U229" s="14">
        <f ca="1"/>
        <v>146</v>
      </c>
      <c r="V229" s="14" t="str">
        <f ca="1"/>
        <v>100↓</v>
      </c>
      <c r="W229" s="8" t="str">
        <f ca="1"/>
        <v>‐</v>
      </c>
      <c r="X229" s="14" t="str">
        <f ca="1"/>
        <v>‐</v>
      </c>
      <c r="Z229" s="14" t="str">
        <v>火</v>
      </c>
    </row>
    <row r="230" spans="1:26" ht="15.75" customHeight="1" x14ac:dyDescent="0.25">
      <c r="A230" s="11" t="s">
        <v>386</v>
      </c>
      <c r="B230" s="5" t="s">
        <v>388</v>
      </c>
      <c r="C230" s="6" t="s">
        <v>20</v>
      </c>
      <c r="D230" s="6" t="s">
        <v>15</v>
      </c>
      <c r="E230" s="6" t="s">
        <v>16</v>
      </c>
      <c r="F230" s="6">
        <v>6</v>
      </c>
      <c r="G230" s="15">
        <v>7286</v>
      </c>
      <c r="H230" s="15">
        <v>1176</v>
      </c>
      <c r="I230" s="15">
        <v>497</v>
      </c>
      <c r="J230" s="15">
        <v>414</v>
      </c>
      <c r="K230" s="6">
        <v>1</v>
      </c>
      <c r="L230" s="6"/>
      <c r="M230" s="6" t="s">
        <v>17</v>
      </c>
      <c r="N230" s="6">
        <v>146</v>
      </c>
      <c r="O230" s="6" t="s">
        <v>509</v>
      </c>
      <c r="P230" s="7" t="s">
        <v>249</v>
      </c>
      <c r="Q230" s="6" t="s">
        <v>249</v>
      </c>
      <c r="S230" s="14" t="str">
        <f ca="1">IFERROR(__xludf.DUMMYFUNCTION("""COMPUTED_VALUE"""),"アバラム")</f>
        <v>アバラム</v>
      </c>
      <c r="T230" s="14" t="str">
        <f ca="1"/>
        <v>男性</v>
      </c>
      <c r="U230" s="14">
        <f ca="1"/>
        <v>146</v>
      </c>
      <c r="V230" s="14" t="str">
        <f ca="1"/>
        <v>100↓</v>
      </c>
      <c r="W230" s="8" t="str">
        <f ca="1"/>
        <v>‐</v>
      </c>
      <c r="X230" s="14" t="str">
        <f ca="1"/>
        <v>‐</v>
      </c>
      <c r="Z230" s="14" t="str">
        <v>火</v>
      </c>
    </row>
    <row r="231" spans="1:26" ht="15.75" customHeight="1" x14ac:dyDescent="0.25">
      <c r="A231" s="11" t="s">
        <v>389</v>
      </c>
      <c r="B231" s="9" t="s">
        <v>390</v>
      </c>
      <c r="C231" s="6" t="s">
        <v>20</v>
      </c>
      <c r="D231" s="6" t="s">
        <v>21</v>
      </c>
      <c r="E231" s="6" t="s">
        <v>16</v>
      </c>
      <c r="F231" s="6">
        <v>4</v>
      </c>
      <c r="G231" s="15">
        <v>6020</v>
      </c>
      <c r="H231" s="15">
        <v>841</v>
      </c>
      <c r="I231" s="15">
        <v>628</v>
      </c>
      <c r="J231" s="15">
        <v>648</v>
      </c>
      <c r="K231" s="6">
        <v>1</v>
      </c>
      <c r="L231" s="6"/>
      <c r="M231" s="6" t="s">
        <v>17</v>
      </c>
      <c r="N231" s="6">
        <v>186</v>
      </c>
      <c r="O231" s="6" t="s">
        <v>475</v>
      </c>
      <c r="P231" s="7" t="s">
        <v>249</v>
      </c>
      <c r="Q231" s="6" t="s">
        <v>249</v>
      </c>
      <c r="S231" s="14" t="str">
        <f ca="1">IFERROR(__xludf.DUMMYFUNCTION("""COMPUTED_VALUE"""),"アリトン")</f>
        <v>アリトン</v>
      </c>
      <c r="T231" s="14" t="str">
        <f ca="1"/>
        <v>男性</v>
      </c>
      <c r="U231" s="14">
        <f ca="1"/>
        <v>186</v>
      </c>
      <c r="V231" s="14" t="str">
        <f ca="1"/>
        <v>不明</v>
      </c>
      <c r="W231" s="8" t="str">
        <f ca="1"/>
        <v>‐</v>
      </c>
      <c r="X231" s="14" t="str">
        <f ca="1"/>
        <v>‐</v>
      </c>
      <c r="Z231" s="14" t="str">
        <v>水</v>
      </c>
    </row>
    <row r="232" spans="1:26" ht="15.75" customHeight="1" x14ac:dyDescent="0.25">
      <c r="A232" s="11" t="s">
        <v>391</v>
      </c>
      <c r="B232" s="10" t="s">
        <v>392</v>
      </c>
      <c r="C232" s="6" t="s">
        <v>20</v>
      </c>
      <c r="D232" s="6" t="s">
        <v>32</v>
      </c>
      <c r="E232" s="6" t="s">
        <v>29</v>
      </c>
      <c r="F232" s="6">
        <v>3</v>
      </c>
      <c r="G232" s="15">
        <v>7283</v>
      </c>
      <c r="H232" s="15">
        <v>1400</v>
      </c>
      <c r="I232" s="15">
        <v>285</v>
      </c>
      <c r="J232" s="15">
        <v>495</v>
      </c>
      <c r="K232" s="6">
        <v>1</v>
      </c>
      <c r="L232" s="6"/>
      <c r="M232" s="6" t="s">
        <v>17</v>
      </c>
      <c r="N232" s="6">
        <v>188</v>
      </c>
      <c r="O232" s="6" t="s">
        <v>475</v>
      </c>
      <c r="P232" s="7" t="s">
        <v>249</v>
      </c>
      <c r="Q232" s="6" t="s">
        <v>249</v>
      </c>
      <c r="S232" s="14" t="str">
        <f ca="1">IFERROR(__xludf.DUMMYFUNCTION("""COMPUTED_VALUE"""),"バロール")</f>
        <v>バロール</v>
      </c>
      <c r="T232" s="14" t="str">
        <f ca="1"/>
        <v>男性</v>
      </c>
      <c r="U232" s="14">
        <f ca="1"/>
        <v>188</v>
      </c>
      <c r="V232" s="14" t="str">
        <f ca="1"/>
        <v>不明</v>
      </c>
      <c r="W232" s="8" t="str">
        <f ca="1"/>
        <v>‐</v>
      </c>
      <c r="X232" s="14" t="str">
        <f ca="1"/>
        <v>‐</v>
      </c>
      <c r="Z232" s="14" t="str">
        <v>氷</v>
      </c>
    </row>
    <row r="233" spans="1:26" ht="15.75" customHeight="1" x14ac:dyDescent="0.25">
      <c r="A233" s="11" t="s">
        <v>393</v>
      </c>
      <c r="B233" s="5" t="s">
        <v>394</v>
      </c>
      <c r="C233" s="6" t="s">
        <v>259</v>
      </c>
      <c r="D233" s="6" t="s">
        <v>15</v>
      </c>
      <c r="E233" s="6" t="s">
        <v>29</v>
      </c>
      <c r="F233" s="6">
        <v>5</v>
      </c>
      <c r="G233" s="15">
        <v>8003</v>
      </c>
      <c r="H233" s="15">
        <v>1183</v>
      </c>
      <c r="I233" s="15">
        <v>387</v>
      </c>
      <c r="J233" s="15">
        <v>496</v>
      </c>
      <c r="K233" s="6">
        <v>2</v>
      </c>
      <c r="L233" s="6"/>
      <c r="M233" s="6" t="s">
        <v>17</v>
      </c>
      <c r="N233" s="6">
        <v>186</v>
      </c>
      <c r="O233" s="6" t="s">
        <v>475</v>
      </c>
      <c r="P233" s="7" t="s">
        <v>249</v>
      </c>
      <c r="Q233" s="6" t="s">
        <v>249</v>
      </c>
      <c r="S233" s="14" t="str">
        <f ca="1">IFERROR(__xludf.DUMMYFUNCTION("""COMPUTED_VALUE"""),"ベヒモス")</f>
        <v>ベヒモス</v>
      </c>
      <c r="T233" s="14" t="str">
        <f ca="1"/>
        <v>男性</v>
      </c>
      <c r="U233" s="14">
        <f ca="1"/>
        <v>186</v>
      </c>
      <c r="V233" s="14" t="str">
        <f ca="1"/>
        <v>不明</v>
      </c>
      <c r="W233" s="8" t="str">
        <f ca="1"/>
        <v>‐</v>
      </c>
      <c r="X233" s="14" t="str">
        <f ca="1"/>
        <v>‐</v>
      </c>
      <c r="Z233" s="14" t="str">
        <v>地</v>
      </c>
    </row>
    <row r="234" spans="1:26" ht="15.75" customHeight="1" x14ac:dyDescent="0.25">
      <c r="A234" s="11" t="s">
        <v>393</v>
      </c>
      <c r="B234" s="10" t="s">
        <v>395</v>
      </c>
      <c r="C234" s="6" t="s">
        <v>259</v>
      </c>
      <c r="D234" s="6" t="s">
        <v>32</v>
      </c>
      <c r="E234" s="6" t="s">
        <v>29</v>
      </c>
      <c r="F234" s="6">
        <v>3</v>
      </c>
      <c r="G234" s="15">
        <v>7450</v>
      </c>
      <c r="H234" s="15">
        <v>1350</v>
      </c>
      <c r="I234" s="15">
        <v>273</v>
      </c>
      <c r="J234" s="15">
        <v>499</v>
      </c>
      <c r="K234" s="6">
        <v>6</v>
      </c>
      <c r="L234" s="6"/>
      <c r="M234" s="6" t="s">
        <v>17</v>
      </c>
      <c r="N234" s="6">
        <v>186</v>
      </c>
      <c r="O234" s="6" t="s">
        <v>475</v>
      </c>
      <c r="P234" s="7" t="s">
        <v>249</v>
      </c>
      <c r="Q234" s="6" t="s">
        <v>249</v>
      </c>
      <c r="S234" s="14" t="str">
        <f ca="1">IFERROR(__xludf.DUMMYFUNCTION("""COMPUTED_VALUE"""),"ベヒモス")</f>
        <v>ベヒモス</v>
      </c>
      <c r="T234" s="14" t="str">
        <f ca="1"/>
        <v>男性</v>
      </c>
      <c r="U234" s="14">
        <f ca="1"/>
        <v>186</v>
      </c>
      <c r="V234" s="14" t="str">
        <f ca="1"/>
        <v>不明</v>
      </c>
      <c r="W234" s="8" t="str">
        <f ca="1"/>
        <v>‐</v>
      </c>
      <c r="X234" s="14" t="str">
        <f ca="1"/>
        <v>‐</v>
      </c>
      <c r="Z234" s="14" t="str">
        <v>雷</v>
      </c>
    </row>
    <row r="235" spans="1:26" ht="15.75" customHeight="1" x14ac:dyDescent="0.25">
      <c r="A235" s="11" t="s">
        <v>396</v>
      </c>
      <c r="B235" s="10" t="s">
        <v>397</v>
      </c>
      <c r="C235" s="6" t="s">
        <v>259</v>
      </c>
      <c r="D235" s="6" t="s">
        <v>32</v>
      </c>
      <c r="E235" s="6" t="s">
        <v>62</v>
      </c>
      <c r="F235" s="6">
        <v>3</v>
      </c>
      <c r="G235" s="15">
        <v>8778</v>
      </c>
      <c r="H235" s="15">
        <v>1227</v>
      </c>
      <c r="I235" s="15">
        <v>404</v>
      </c>
      <c r="J235" s="15">
        <v>413</v>
      </c>
      <c r="K235" s="6">
        <v>1</v>
      </c>
      <c r="L235" s="6"/>
      <c r="M235" s="6" t="s">
        <v>30</v>
      </c>
      <c r="N235" s="6">
        <v>157</v>
      </c>
      <c r="O235" s="6" t="s">
        <v>475</v>
      </c>
      <c r="P235" s="7" t="s">
        <v>249</v>
      </c>
      <c r="Q235" s="6" t="s">
        <v>249</v>
      </c>
      <c r="S235" s="14" t="str">
        <f ca="1">IFERROR(__xludf.DUMMYFUNCTION("""COMPUTED_VALUE"""),"ダゴン")</f>
        <v>ダゴン</v>
      </c>
      <c r="T235" s="14" t="str">
        <f ca="1"/>
        <v>女性</v>
      </c>
      <c r="U235" s="14">
        <f ca="1"/>
        <v>157</v>
      </c>
      <c r="V235" s="14" t="str">
        <f ca="1"/>
        <v>不明</v>
      </c>
      <c r="W235" s="8" t="str">
        <f ca="1"/>
        <v>‐</v>
      </c>
      <c r="X235" s="14" t="str">
        <f ca="1"/>
        <v>‐</v>
      </c>
      <c r="Z235" s="14" t="str">
        <v>地</v>
      </c>
    </row>
    <row r="236" spans="1:26" ht="15.75" customHeight="1" x14ac:dyDescent="0.25">
      <c r="A236" s="11" t="s">
        <v>396</v>
      </c>
      <c r="B236" s="9" t="s">
        <v>398</v>
      </c>
      <c r="C236" s="6" t="s">
        <v>259</v>
      </c>
      <c r="D236" s="6" t="s">
        <v>21</v>
      </c>
      <c r="E236" s="6" t="s">
        <v>62</v>
      </c>
      <c r="F236" s="6">
        <v>5</v>
      </c>
      <c r="G236" s="15">
        <v>9316</v>
      </c>
      <c r="H236" s="15">
        <v>1200</v>
      </c>
      <c r="I236" s="15">
        <v>420</v>
      </c>
      <c r="J236" s="15">
        <v>276</v>
      </c>
      <c r="K236" s="6">
        <v>1</v>
      </c>
      <c r="L236" s="6"/>
      <c r="M236" s="6" t="s">
        <v>30</v>
      </c>
      <c r="N236" s="6">
        <v>157</v>
      </c>
      <c r="O236" s="6" t="s">
        <v>475</v>
      </c>
      <c r="P236" s="7" t="s">
        <v>249</v>
      </c>
      <c r="Q236" s="6" t="s">
        <v>249</v>
      </c>
      <c r="S236" s="14" t="str">
        <f ca="1">IFERROR(__xludf.DUMMYFUNCTION("""COMPUTED_VALUE"""),"ダゴン")</f>
        <v>ダゴン</v>
      </c>
      <c r="T236" s="14" t="str">
        <f ca="1"/>
        <v>女性</v>
      </c>
      <c r="U236" s="14">
        <f ca="1"/>
        <v>157</v>
      </c>
      <c r="V236" s="14" t="str">
        <f ca="1"/>
        <v>不明</v>
      </c>
      <c r="W236" s="8" t="str">
        <f ca="1"/>
        <v>‐</v>
      </c>
      <c r="X236" s="14" t="str">
        <f ca="1"/>
        <v>‐</v>
      </c>
      <c r="Z236" s="14" t="str">
        <v>地</v>
      </c>
    </row>
    <row r="237" spans="1:26" ht="15.75" customHeight="1" x14ac:dyDescent="0.25">
      <c r="A237" s="11" t="s">
        <v>399</v>
      </c>
      <c r="B237" s="10" t="s">
        <v>400</v>
      </c>
      <c r="C237" s="6" t="s">
        <v>20</v>
      </c>
      <c r="D237" s="6" t="s">
        <v>32</v>
      </c>
      <c r="E237" s="6" t="s">
        <v>62</v>
      </c>
      <c r="F237" s="6">
        <v>4</v>
      </c>
      <c r="G237" s="15">
        <v>7046</v>
      </c>
      <c r="H237" s="15">
        <v>530</v>
      </c>
      <c r="I237" s="15">
        <v>610</v>
      </c>
      <c r="J237" s="15">
        <v>688</v>
      </c>
      <c r="K237" s="6">
        <v>1</v>
      </c>
      <c r="L237" s="6"/>
      <c r="M237" s="6" t="s">
        <v>17</v>
      </c>
      <c r="N237" s="6">
        <v>155</v>
      </c>
      <c r="O237" s="6" t="s">
        <v>509</v>
      </c>
      <c r="P237" s="7" t="s">
        <v>249</v>
      </c>
      <c r="Q237" s="6" t="s">
        <v>249</v>
      </c>
      <c r="S237" s="14" t="str">
        <f ca="1">IFERROR(__xludf.DUMMYFUNCTION("""COMPUTED_VALUE"""),"スコルベノト")</f>
        <v>スコルベノト</v>
      </c>
      <c r="T237" s="14" t="str">
        <f ca="1"/>
        <v>男性</v>
      </c>
      <c r="U237" s="14">
        <f ca="1"/>
        <v>155</v>
      </c>
      <c r="V237" s="14" t="str">
        <f ca="1"/>
        <v>100↓</v>
      </c>
      <c r="W237" s="8" t="str">
        <f ca="1"/>
        <v>‐</v>
      </c>
      <c r="X237" s="14" t="str">
        <f ca="1"/>
        <v>‐</v>
      </c>
      <c r="Z237" s="14" t="str">
        <v>風</v>
      </c>
    </row>
    <row r="238" spans="1:26" ht="15.75" customHeight="1" x14ac:dyDescent="0.25">
      <c r="A238" s="11" t="s">
        <v>399</v>
      </c>
      <c r="B238" s="9" t="s">
        <v>401</v>
      </c>
      <c r="C238" s="6" t="s">
        <v>20</v>
      </c>
      <c r="D238" s="6" t="s">
        <v>21</v>
      </c>
      <c r="E238" s="6" t="s">
        <v>62</v>
      </c>
      <c r="F238" s="6">
        <v>5</v>
      </c>
      <c r="G238" s="15">
        <v>7066</v>
      </c>
      <c r="H238" s="15">
        <v>949</v>
      </c>
      <c r="I238" s="15">
        <v>575</v>
      </c>
      <c r="J238" s="15">
        <v>504</v>
      </c>
      <c r="K238" s="6">
        <v>1</v>
      </c>
      <c r="L238" s="6"/>
      <c r="M238" s="6" t="s">
        <v>17</v>
      </c>
      <c r="N238" s="6">
        <v>155</v>
      </c>
      <c r="O238" s="6" t="s">
        <v>509</v>
      </c>
      <c r="P238" s="7" t="s">
        <v>249</v>
      </c>
      <c r="Q238" s="6" t="s">
        <v>249</v>
      </c>
      <c r="S238" s="14" t="str">
        <f ca="1">IFERROR(__xludf.DUMMYFUNCTION("""COMPUTED_VALUE"""),"スコルベノト")</f>
        <v>スコルベノト</v>
      </c>
      <c r="T238" s="14" t="str">
        <f ca="1"/>
        <v>男性</v>
      </c>
      <c r="U238" s="14">
        <f ca="1"/>
        <v>155</v>
      </c>
      <c r="V238" s="14" t="str">
        <f ca="1"/>
        <v>100↓</v>
      </c>
      <c r="W238" s="8" t="str">
        <f ca="1"/>
        <v>‐</v>
      </c>
      <c r="X238" s="14" t="str">
        <f ca="1"/>
        <v>‐</v>
      </c>
      <c r="Z238" s="14" t="str">
        <v>風</v>
      </c>
    </row>
    <row r="239" spans="1:26" ht="15.75" customHeight="1" x14ac:dyDescent="0.25">
      <c r="A239" s="11" t="s">
        <v>402</v>
      </c>
      <c r="B239" s="9" t="s">
        <v>403</v>
      </c>
      <c r="C239" s="6" t="s">
        <v>24</v>
      </c>
      <c r="D239" s="6" t="s">
        <v>21</v>
      </c>
      <c r="E239" s="6" t="s">
        <v>62</v>
      </c>
      <c r="F239" s="6">
        <v>3</v>
      </c>
      <c r="G239" s="15">
        <v>8818</v>
      </c>
      <c r="H239" s="15">
        <v>907</v>
      </c>
      <c r="I239" s="15">
        <v>528</v>
      </c>
      <c r="J239" s="15">
        <v>420</v>
      </c>
      <c r="K239" s="6">
        <v>1</v>
      </c>
      <c r="L239" s="6"/>
      <c r="M239" s="6" t="s">
        <v>30</v>
      </c>
      <c r="N239" s="6">
        <v>160</v>
      </c>
      <c r="O239" s="6" t="s">
        <v>475</v>
      </c>
      <c r="P239" s="7" t="s">
        <v>249</v>
      </c>
      <c r="Q239" s="6" t="s">
        <v>249</v>
      </c>
      <c r="S239" s="14" t="str">
        <f ca="1">IFERROR(__xludf.DUMMYFUNCTION("""COMPUTED_VALUE"""),"メルコム")</f>
        <v>メルコム</v>
      </c>
      <c r="T239" s="14" t="str">
        <f ca="1"/>
        <v>女性</v>
      </c>
      <c r="U239" s="14">
        <f ca="1"/>
        <v>160</v>
      </c>
      <c r="V239" s="14" t="str">
        <f ca="1"/>
        <v>不明</v>
      </c>
      <c r="W239" s="8" t="str">
        <f ca="1"/>
        <v>‐</v>
      </c>
      <c r="X239" s="14" t="str">
        <f ca="1"/>
        <v>‐</v>
      </c>
      <c r="Z239" s="14" t="str">
        <v>水</v>
      </c>
    </row>
    <row r="240" spans="1:26" ht="15.75" customHeight="1" x14ac:dyDescent="0.25">
      <c r="A240" s="11" t="s">
        <v>404</v>
      </c>
      <c r="B240" s="5" t="s">
        <v>405</v>
      </c>
      <c r="C240" s="6" t="s">
        <v>20</v>
      </c>
      <c r="D240" s="6" t="s">
        <v>15</v>
      </c>
      <c r="E240" s="6" t="s">
        <v>16</v>
      </c>
      <c r="F240" s="6">
        <v>4</v>
      </c>
      <c r="G240" s="15">
        <v>6858</v>
      </c>
      <c r="H240" s="15">
        <v>764</v>
      </c>
      <c r="I240" s="15">
        <v>658</v>
      </c>
      <c r="J240" s="15">
        <v>448</v>
      </c>
      <c r="K240" s="6">
        <v>1</v>
      </c>
      <c r="L240" s="6"/>
      <c r="M240" s="6" t="s">
        <v>30</v>
      </c>
      <c r="N240" s="6">
        <v>169</v>
      </c>
      <c r="O240" s="6" t="s">
        <v>475</v>
      </c>
      <c r="P240" s="7" t="s">
        <v>249</v>
      </c>
      <c r="Q240" s="6" t="s">
        <v>249</v>
      </c>
      <c r="S240" s="14" t="str">
        <f ca="1">IFERROR(__xludf.DUMMYFUNCTION("""COMPUTED_VALUE"""),"フィロタヌス")</f>
        <v>フィロタヌス</v>
      </c>
      <c r="T240" s="14" t="str">
        <f ca="1"/>
        <v>女性</v>
      </c>
      <c r="U240" s="14">
        <f ca="1"/>
        <v>169</v>
      </c>
      <c r="V240" s="14" t="str">
        <f ca="1"/>
        <v>不明</v>
      </c>
      <c r="W240" s="8" t="str">
        <f ca="1"/>
        <v>‐</v>
      </c>
      <c r="X240" s="14" t="str">
        <f ca="1"/>
        <v>‐</v>
      </c>
      <c r="Z240" s="14" t="str">
        <v>火</v>
      </c>
    </row>
    <row r="241" spans="1:26" ht="15.75" customHeight="1" x14ac:dyDescent="0.25">
      <c r="A241" s="11" t="s">
        <v>406</v>
      </c>
      <c r="B241" s="10" t="s">
        <v>407</v>
      </c>
      <c r="C241" s="6" t="s">
        <v>20</v>
      </c>
      <c r="D241" s="6" t="s">
        <v>32</v>
      </c>
      <c r="E241" s="6" t="s">
        <v>62</v>
      </c>
      <c r="F241" s="6">
        <v>3</v>
      </c>
      <c r="G241" s="15">
        <v>6298</v>
      </c>
      <c r="H241" s="15">
        <v>1114</v>
      </c>
      <c r="I241" s="15">
        <v>438</v>
      </c>
      <c r="J241" s="15">
        <v>535</v>
      </c>
      <c r="K241" s="6">
        <v>1</v>
      </c>
      <c r="L241" s="6" t="s">
        <v>146</v>
      </c>
      <c r="M241" s="6" t="s">
        <v>30</v>
      </c>
      <c r="N241" s="6">
        <v>134</v>
      </c>
      <c r="O241" s="6" t="s">
        <v>475</v>
      </c>
      <c r="P241" s="7" t="s">
        <v>515</v>
      </c>
      <c r="Q241" s="6" t="s">
        <v>516</v>
      </c>
      <c r="S241" s="14" t="str">
        <f ca="1">IFERROR(__xludf.DUMMYFUNCTION("""COMPUTED_VALUE"""),"インプ")</f>
        <v>インプ</v>
      </c>
      <c r="T241" s="14" t="str">
        <f ca="1"/>
        <v>女性</v>
      </c>
      <c r="U241" s="14">
        <f ca="1"/>
        <v>134</v>
      </c>
      <c r="V241" s="14" t="str">
        <f ca="1"/>
        <v>不明</v>
      </c>
      <c r="W241" s="8" t="str">
        <f ca="1"/>
        <v>？月？日</v>
      </c>
      <c r="X241" s="14" t="str">
        <f ca="1"/>
        <v>ローゼ</v>
      </c>
      <c r="Z241" s="14" t="str">
        <v>雷</v>
      </c>
    </row>
    <row r="242" spans="1:26" ht="15.75" customHeight="1" x14ac:dyDescent="0.25">
      <c r="A242" s="11" t="s">
        <v>406</v>
      </c>
      <c r="B242" s="5" t="s">
        <v>408</v>
      </c>
      <c r="C242" s="6" t="s">
        <v>20</v>
      </c>
      <c r="D242" s="6" t="s">
        <v>15</v>
      </c>
      <c r="E242" s="6" t="s">
        <v>62</v>
      </c>
      <c r="F242" s="6">
        <v>5</v>
      </c>
      <c r="G242" s="15">
        <v>6148</v>
      </c>
      <c r="H242" s="15">
        <v>818</v>
      </c>
      <c r="I242" s="15">
        <v>643</v>
      </c>
      <c r="J242" s="15">
        <v>616</v>
      </c>
      <c r="K242" s="6">
        <v>1</v>
      </c>
      <c r="L242" s="6" t="s">
        <v>146</v>
      </c>
      <c r="M242" s="6" t="s">
        <v>30</v>
      </c>
      <c r="N242" s="6">
        <v>134</v>
      </c>
      <c r="O242" s="6" t="s">
        <v>475</v>
      </c>
      <c r="P242" s="7" t="s">
        <v>515</v>
      </c>
      <c r="Q242" s="6" t="s">
        <v>516</v>
      </c>
      <c r="S242" s="14" t="str">
        <f ca="1">IFERROR(__xludf.DUMMYFUNCTION("""COMPUTED_VALUE"""),"インプ")</f>
        <v>インプ</v>
      </c>
      <c r="T242" s="14" t="str">
        <f ca="1"/>
        <v>女性</v>
      </c>
      <c r="U242" s="14">
        <f ca="1"/>
        <v>134</v>
      </c>
      <c r="V242" s="14" t="str">
        <f ca="1"/>
        <v>不明</v>
      </c>
      <c r="W242" s="8" t="str">
        <f ca="1"/>
        <v>？月？日</v>
      </c>
      <c r="X242" s="14" t="str">
        <f ca="1"/>
        <v>ローゼ</v>
      </c>
      <c r="Z242" s="14" t="str">
        <v>雷</v>
      </c>
    </row>
    <row r="243" spans="1:26" ht="15.75" customHeight="1" x14ac:dyDescent="0.25">
      <c r="A243" s="11" t="s">
        <v>409</v>
      </c>
      <c r="B243" s="5" t="s">
        <v>410</v>
      </c>
      <c r="C243" s="6" t="s">
        <v>20</v>
      </c>
      <c r="D243" s="6" t="s">
        <v>15</v>
      </c>
      <c r="E243" s="6" t="s">
        <v>62</v>
      </c>
      <c r="F243" s="6">
        <v>4</v>
      </c>
      <c r="G243" s="15">
        <v>7677</v>
      </c>
      <c r="H243" s="15">
        <v>1303</v>
      </c>
      <c r="I243" s="15">
        <v>610</v>
      </c>
      <c r="J243" s="15">
        <v>269</v>
      </c>
      <c r="K243" s="6">
        <v>2</v>
      </c>
      <c r="L243" s="6"/>
      <c r="M243" s="6" t="s">
        <v>17</v>
      </c>
      <c r="N243" s="6">
        <v>188</v>
      </c>
      <c r="O243" s="6" t="s">
        <v>475</v>
      </c>
      <c r="P243" s="7" t="s">
        <v>249</v>
      </c>
      <c r="Q243" s="6" t="s">
        <v>249</v>
      </c>
      <c r="S243" s="14" t="str">
        <f ca="1">IFERROR(__xludf.DUMMYFUNCTION("""COMPUTED_VALUE"""),"アマゼロト")</f>
        <v>アマゼロト</v>
      </c>
      <c r="T243" s="14" t="str">
        <f ca="1"/>
        <v>男性</v>
      </c>
      <c r="U243" s="14">
        <f ca="1"/>
        <v>188</v>
      </c>
      <c r="V243" s="14" t="str">
        <f ca="1"/>
        <v>不明</v>
      </c>
      <c r="W243" s="8" t="str">
        <f ca="1"/>
        <v>‐</v>
      </c>
      <c r="X243" s="14" t="str">
        <f ca="1"/>
        <v>‐</v>
      </c>
      <c r="Z243" s="14" t="str">
        <v>氷</v>
      </c>
    </row>
    <row r="244" spans="1:26" ht="15.75" customHeight="1" x14ac:dyDescent="0.25">
      <c r="A244" s="11" t="s">
        <v>409</v>
      </c>
      <c r="B244" s="10" t="s">
        <v>411</v>
      </c>
      <c r="C244" s="6" t="s">
        <v>20</v>
      </c>
      <c r="D244" s="6" t="s">
        <v>32</v>
      </c>
      <c r="E244" s="6" t="s">
        <v>62</v>
      </c>
      <c r="F244" s="6">
        <v>3</v>
      </c>
      <c r="G244" s="15">
        <v>6816</v>
      </c>
      <c r="H244" s="15">
        <v>1280</v>
      </c>
      <c r="I244" s="15">
        <v>393</v>
      </c>
      <c r="J244" s="15">
        <v>527</v>
      </c>
      <c r="K244" s="6">
        <v>2</v>
      </c>
      <c r="L244" s="6"/>
      <c r="M244" s="6" t="s">
        <v>17</v>
      </c>
      <c r="N244" s="6">
        <v>188</v>
      </c>
      <c r="O244" s="6" t="s">
        <v>475</v>
      </c>
      <c r="P244" s="7" t="s">
        <v>249</v>
      </c>
      <c r="Q244" s="6" t="s">
        <v>249</v>
      </c>
      <c r="S244" s="14" t="str">
        <f ca="1">IFERROR(__xludf.DUMMYFUNCTION("""COMPUTED_VALUE"""),"アマゼロト")</f>
        <v>アマゼロト</v>
      </c>
      <c r="T244" s="14" t="str">
        <f ca="1"/>
        <v>男性</v>
      </c>
      <c r="U244" s="14">
        <f ca="1"/>
        <v>188</v>
      </c>
      <c r="V244" s="14" t="str">
        <f ca="1"/>
        <v>不明</v>
      </c>
      <c r="W244" s="8" t="str">
        <f ca="1"/>
        <v>‐</v>
      </c>
      <c r="X244" s="14" t="str">
        <f ca="1"/>
        <v>‐</v>
      </c>
      <c r="Z244" s="14" t="str">
        <v>氷</v>
      </c>
    </row>
    <row r="245" spans="1:26" ht="15.75" customHeight="1" x14ac:dyDescent="0.25">
      <c r="A245" s="11" t="s">
        <v>412</v>
      </c>
      <c r="B245" s="9" t="s">
        <v>413</v>
      </c>
      <c r="C245" s="6" t="s">
        <v>259</v>
      </c>
      <c r="D245" s="6" t="s">
        <v>21</v>
      </c>
      <c r="E245" s="6" t="s">
        <v>16</v>
      </c>
      <c r="F245" s="6">
        <v>5</v>
      </c>
      <c r="G245" s="15">
        <v>7378</v>
      </c>
      <c r="H245" s="15">
        <v>852</v>
      </c>
      <c r="I245" s="15">
        <v>516</v>
      </c>
      <c r="J245" s="15">
        <v>524</v>
      </c>
      <c r="K245" s="6">
        <v>1</v>
      </c>
      <c r="L245" s="6"/>
      <c r="M245" s="6" t="s">
        <v>30</v>
      </c>
      <c r="N245" s="6">
        <v>163</v>
      </c>
      <c r="O245" s="6" t="s">
        <v>475</v>
      </c>
      <c r="P245" s="7" t="s">
        <v>249</v>
      </c>
      <c r="Q245" s="6" t="s">
        <v>249</v>
      </c>
      <c r="S245" s="14" t="str">
        <f ca="1">IFERROR(__xludf.DUMMYFUNCTION("""COMPUTED_VALUE"""),"プロメテウス")</f>
        <v>プロメテウス</v>
      </c>
      <c r="T245" s="14" t="str">
        <f ca="1"/>
        <v>女性</v>
      </c>
      <c r="U245" s="14">
        <f ca="1"/>
        <v>163</v>
      </c>
      <c r="V245" s="14" t="str">
        <f ca="1"/>
        <v>不明</v>
      </c>
      <c r="W245" s="8" t="str">
        <f ca="1"/>
        <v>‐</v>
      </c>
      <c r="X245" s="14" t="str">
        <f ca="1"/>
        <v>‐</v>
      </c>
      <c r="Z245" s="14" t="str">
        <v>火</v>
      </c>
    </row>
    <row r="246" spans="1:26" ht="15.75" customHeight="1" x14ac:dyDescent="0.25">
      <c r="A246" s="11" t="s">
        <v>412</v>
      </c>
      <c r="B246" s="5" t="s">
        <v>414</v>
      </c>
      <c r="C246" s="6" t="s">
        <v>259</v>
      </c>
      <c r="D246" s="6" t="s">
        <v>15</v>
      </c>
      <c r="E246" s="6" t="s">
        <v>16</v>
      </c>
      <c r="F246" s="6">
        <v>5</v>
      </c>
      <c r="G246" s="15">
        <v>8712</v>
      </c>
      <c r="H246" s="15">
        <v>637</v>
      </c>
      <c r="I246" s="15">
        <v>625</v>
      </c>
      <c r="J246" s="15">
        <v>569</v>
      </c>
      <c r="K246" s="6">
        <v>1</v>
      </c>
      <c r="L246" s="6"/>
      <c r="M246" s="6" t="s">
        <v>30</v>
      </c>
      <c r="N246" s="6">
        <v>163</v>
      </c>
      <c r="O246" s="6" t="s">
        <v>475</v>
      </c>
      <c r="P246" s="7" t="s">
        <v>249</v>
      </c>
      <c r="Q246" s="6" t="s">
        <v>249</v>
      </c>
      <c r="S246" s="14" t="str">
        <f ca="1">IFERROR(__xludf.DUMMYFUNCTION("""COMPUTED_VALUE"""),"プロメテウス")</f>
        <v>プロメテウス</v>
      </c>
      <c r="T246" s="14" t="str">
        <f ca="1"/>
        <v>女性</v>
      </c>
      <c r="U246" s="14">
        <f ca="1"/>
        <v>163</v>
      </c>
      <c r="V246" s="14" t="str">
        <f ca="1"/>
        <v>不明</v>
      </c>
      <c r="W246" s="8" t="str">
        <f ca="1"/>
        <v>‐</v>
      </c>
      <c r="X246" s="14" t="str">
        <f ca="1"/>
        <v>‐</v>
      </c>
      <c r="Z246" s="14" t="str">
        <v>火</v>
      </c>
    </row>
    <row r="247" spans="1:26" ht="15.75" customHeight="1" x14ac:dyDescent="0.25">
      <c r="A247" s="11" t="s">
        <v>415</v>
      </c>
      <c r="B247" s="9" t="s">
        <v>416</v>
      </c>
      <c r="C247" s="6" t="s">
        <v>14</v>
      </c>
      <c r="D247" s="6" t="s">
        <v>21</v>
      </c>
      <c r="E247" s="6" t="s">
        <v>29</v>
      </c>
      <c r="F247" s="6">
        <v>3</v>
      </c>
      <c r="G247" s="15">
        <v>10192</v>
      </c>
      <c r="H247" s="15">
        <v>1325</v>
      </c>
      <c r="I247" s="15">
        <v>442</v>
      </c>
      <c r="J247" s="15">
        <v>363</v>
      </c>
      <c r="K247" s="6">
        <v>2</v>
      </c>
      <c r="L247" s="6"/>
      <c r="M247" s="6" t="s">
        <v>17</v>
      </c>
      <c r="N247" s="6">
        <v>188</v>
      </c>
      <c r="O247" s="6" t="s">
        <v>510</v>
      </c>
      <c r="P247" s="7" t="s">
        <v>249</v>
      </c>
      <c r="Q247" s="6" t="s">
        <v>249</v>
      </c>
      <c r="S247" s="14" t="str">
        <f ca="1">IFERROR(__xludf.DUMMYFUNCTION("""COMPUTED_VALUE"""),"ベルフェゴール")</f>
        <v>ベルフェゴール</v>
      </c>
      <c r="T247" s="14" t="str">
        <f ca="1"/>
        <v>男性</v>
      </c>
      <c r="U247" s="14">
        <f ca="1"/>
        <v>188</v>
      </c>
      <c r="V247" s="14" t="str">
        <f ca="1"/>
        <v>500↑</v>
      </c>
      <c r="W247" s="8" t="str">
        <f ca="1"/>
        <v>‐</v>
      </c>
      <c r="X247" s="14" t="str">
        <f ca="1"/>
        <v>‐</v>
      </c>
      <c r="Z247" s="14" t="str">
        <v>風</v>
      </c>
    </row>
    <row r="248" spans="1:26" ht="15.75" customHeight="1" x14ac:dyDescent="0.25">
      <c r="A248" s="11" t="s">
        <v>417</v>
      </c>
      <c r="B248" s="10" t="s">
        <v>418</v>
      </c>
      <c r="C248" s="6" t="s">
        <v>14</v>
      </c>
      <c r="D248" s="6" t="s">
        <v>32</v>
      </c>
      <c r="E248" s="6" t="s">
        <v>16</v>
      </c>
      <c r="F248" s="6">
        <v>2</v>
      </c>
      <c r="G248" s="15">
        <v>8102</v>
      </c>
      <c r="H248" s="15">
        <v>1274</v>
      </c>
      <c r="I248" s="15">
        <v>496</v>
      </c>
      <c r="J248" s="15">
        <v>449</v>
      </c>
      <c r="K248" s="6">
        <v>2</v>
      </c>
      <c r="L248" s="6"/>
      <c r="M248" s="6" t="s">
        <v>30</v>
      </c>
      <c r="N248" s="6">
        <v>171</v>
      </c>
      <c r="O248" s="6" t="s">
        <v>510</v>
      </c>
      <c r="P248" s="7" t="s">
        <v>249</v>
      </c>
      <c r="Q248" s="6" t="s">
        <v>249</v>
      </c>
      <c r="S248" s="14" t="str">
        <f ca="1">IFERROR(__xludf.DUMMYFUNCTION("""COMPUTED_VALUE"""),"マモン")</f>
        <v>マモン</v>
      </c>
      <c r="T248" s="14" t="str">
        <f ca="1"/>
        <v>女性</v>
      </c>
      <c r="U248" s="14">
        <f ca="1"/>
        <v>171</v>
      </c>
      <c r="V248" s="14" t="str">
        <f ca="1"/>
        <v>500↑</v>
      </c>
      <c r="W248" s="8" t="str">
        <f ca="1"/>
        <v>‐</v>
      </c>
      <c r="X248" s="14" t="str">
        <f ca="1"/>
        <v>‐</v>
      </c>
      <c r="Z248" s="14" t="str">
        <v>風</v>
      </c>
    </row>
    <row r="249" spans="1:26" ht="15.75" customHeight="1" x14ac:dyDescent="0.25">
      <c r="A249" s="11" t="s">
        <v>419</v>
      </c>
      <c r="B249" s="10" t="s">
        <v>420</v>
      </c>
      <c r="C249" s="6" t="s">
        <v>14</v>
      </c>
      <c r="D249" s="6" t="s">
        <v>32</v>
      </c>
      <c r="E249" s="6" t="s">
        <v>29</v>
      </c>
      <c r="F249" s="6">
        <v>3</v>
      </c>
      <c r="G249" s="15">
        <v>8555</v>
      </c>
      <c r="H249" s="15">
        <v>1328</v>
      </c>
      <c r="I249" s="15">
        <v>451</v>
      </c>
      <c r="J249" s="15">
        <v>424</v>
      </c>
      <c r="K249" s="6">
        <v>2</v>
      </c>
      <c r="L249" s="6" t="s">
        <v>146</v>
      </c>
      <c r="M249" s="6" t="s">
        <v>30</v>
      </c>
      <c r="N249" s="6">
        <v>156</v>
      </c>
      <c r="O249" s="6" t="s">
        <v>510</v>
      </c>
      <c r="P249" s="7" t="s">
        <v>249</v>
      </c>
      <c r="Q249" s="6" t="s">
        <v>249</v>
      </c>
      <c r="S249" s="14" t="str">
        <f ca="1">IFERROR(__xludf.DUMMYFUNCTION("""COMPUTED_VALUE"""),"ルシファー")</f>
        <v>ルシファー</v>
      </c>
      <c r="T249" s="14" t="str">
        <f ca="1"/>
        <v>女性</v>
      </c>
      <c r="U249" s="14">
        <f ca="1"/>
        <v>156</v>
      </c>
      <c r="V249" s="14" t="str">
        <f ca="1"/>
        <v>500↑</v>
      </c>
      <c r="W249" s="8" t="str">
        <f ca="1"/>
        <v>‐</v>
      </c>
      <c r="X249" s="14" t="str">
        <f ca="1"/>
        <v>‐</v>
      </c>
      <c r="Z249" s="14" t="str">
        <v>風</v>
      </c>
    </row>
    <row r="250" spans="1:26" ht="15.75" customHeight="1" x14ac:dyDescent="0.25">
      <c r="A250" s="11" t="s">
        <v>421</v>
      </c>
      <c r="B250" s="5" t="s">
        <v>422</v>
      </c>
      <c r="C250" s="6" t="s">
        <v>259</v>
      </c>
      <c r="D250" s="6" t="s">
        <v>15</v>
      </c>
      <c r="E250" s="6" t="s">
        <v>16</v>
      </c>
      <c r="F250" s="6">
        <v>5</v>
      </c>
      <c r="G250" s="15">
        <v>7828</v>
      </c>
      <c r="H250" s="15">
        <v>1106</v>
      </c>
      <c r="I250" s="15">
        <v>474</v>
      </c>
      <c r="J250" s="15">
        <v>450</v>
      </c>
      <c r="K250" s="6">
        <v>1</v>
      </c>
      <c r="L250" s="6" t="s">
        <v>146</v>
      </c>
      <c r="M250" s="6" t="s">
        <v>30</v>
      </c>
      <c r="N250" s="6">
        <v>141</v>
      </c>
      <c r="O250" s="6" t="s">
        <v>475</v>
      </c>
      <c r="P250" s="7" t="s">
        <v>249</v>
      </c>
      <c r="Q250" s="6" t="s">
        <v>249</v>
      </c>
      <c r="S250" s="14" t="str">
        <f ca="1">IFERROR(__xludf.DUMMYFUNCTION("""COMPUTED_VALUE"""),"ネルガル")</f>
        <v>ネルガル</v>
      </c>
      <c r="T250" s="14" t="str">
        <f ca="1"/>
        <v>女性</v>
      </c>
      <c r="U250" s="14">
        <f ca="1"/>
        <v>141</v>
      </c>
      <c r="V250" s="14" t="str">
        <f ca="1"/>
        <v>不明</v>
      </c>
      <c r="W250" s="8" t="str">
        <f ca="1"/>
        <v>‐</v>
      </c>
      <c r="X250" s="14" t="str">
        <f ca="1"/>
        <v>‐</v>
      </c>
      <c r="Z250" s="14" t="str">
        <v>火</v>
      </c>
    </row>
    <row r="251" spans="1:26" ht="15.75" customHeight="1" x14ac:dyDescent="0.25">
      <c r="A251" s="11" t="s">
        <v>421</v>
      </c>
      <c r="B251" s="9" t="s">
        <v>423</v>
      </c>
      <c r="C251" s="6" t="s">
        <v>259</v>
      </c>
      <c r="D251" s="6" t="s">
        <v>21</v>
      </c>
      <c r="E251" s="6" t="s">
        <v>16</v>
      </c>
      <c r="F251" s="6">
        <v>3</v>
      </c>
      <c r="G251" s="15">
        <v>8302</v>
      </c>
      <c r="H251" s="15">
        <v>1359</v>
      </c>
      <c r="I251" s="15">
        <v>491</v>
      </c>
      <c r="J251" s="15">
        <v>279</v>
      </c>
      <c r="K251" s="6">
        <v>1</v>
      </c>
      <c r="L251" s="6"/>
      <c r="M251" s="6" t="s">
        <v>30</v>
      </c>
      <c r="N251" s="6">
        <v>141</v>
      </c>
      <c r="O251" s="6" t="s">
        <v>475</v>
      </c>
      <c r="P251" s="7" t="s">
        <v>249</v>
      </c>
      <c r="Q251" s="6" t="s">
        <v>249</v>
      </c>
      <c r="S251" s="14" t="str">
        <f ca="1">IFERROR(__xludf.DUMMYFUNCTION("""COMPUTED_VALUE"""),"ネルガル")</f>
        <v>ネルガル</v>
      </c>
      <c r="T251" s="14" t="str">
        <f ca="1"/>
        <v>女性</v>
      </c>
      <c r="U251" s="14">
        <f ca="1"/>
        <v>141</v>
      </c>
      <c r="V251" s="14" t="str">
        <f ca="1"/>
        <v>不明</v>
      </c>
      <c r="W251" s="8" t="str">
        <f ca="1"/>
        <v>‐</v>
      </c>
      <c r="X251" s="14" t="str">
        <f ca="1"/>
        <v>‐</v>
      </c>
      <c r="Z251" s="14" t="str">
        <v>火</v>
      </c>
    </row>
    <row r="252" spans="1:26" ht="15.75" customHeight="1" x14ac:dyDescent="0.25">
      <c r="A252" s="11" t="s">
        <v>424</v>
      </c>
      <c r="B252" s="9" t="s">
        <v>425</v>
      </c>
      <c r="C252" s="6" t="s">
        <v>259</v>
      </c>
      <c r="D252" s="6" t="s">
        <v>21</v>
      </c>
      <c r="E252" s="6" t="s">
        <v>16</v>
      </c>
      <c r="F252" s="6">
        <v>4</v>
      </c>
      <c r="G252" s="15">
        <v>8310</v>
      </c>
      <c r="H252" s="15">
        <v>890</v>
      </c>
      <c r="I252" s="15">
        <v>468</v>
      </c>
      <c r="J252" s="15">
        <v>507</v>
      </c>
      <c r="K252" s="6">
        <v>1</v>
      </c>
      <c r="L252" s="6"/>
      <c r="M252" s="6" t="s">
        <v>17</v>
      </c>
      <c r="N252" s="6">
        <v>185</v>
      </c>
      <c r="O252" s="6" t="s">
        <v>475</v>
      </c>
      <c r="P252" s="7" t="s">
        <v>249</v>
      </c>
      <c r="Q252" s="6" t="s">
        <v>249</v>
      </c>
      <c r="S252" s="14" t="str">
        <f ca="1">IFERROR(__xludf.DUMMYFUNCTION("""COMPUTED_VALUE"""),"バールゼフォン")</f>
        <v>バールゼフォン</v>
      </c>
      <c r="T252" s="14" t="str">
        <f ca="1"/>
        <v>男性</v>
      </c>
      <c r="U252" s="14">
        <f ca="1"/>
        <v>185</v>
      </c>
      <c r="V252" s="14" t="str">
        <f ca="1"/>
        <v>不明</v>
      </c>
      <c r="W252" s="8" t="str">
        <f ca="1"/>
        <v>‐</v>
      </c>
      <c r="X252" s="14" t="str">
        <f ca="1"/>
        <v>‐</v>
      </c>
      <c r="Z252" s="14" t="str">
        <v>雷</v>
      </c>
    </row>
    <row r="253" spans="1:26" ht="15.75" customHeight="1" x14ac:dyDescent="0.25">
      <c r="A253" s="11" t="s">
        <v>424</v>
      </c>
      <c r="B253" s="5" t="s">
        <v>426</v>
      </c>
      <c r="C253" s="6" t="s">
        <v>259</v>
      </c>
      <c r="D253" s="6" t="s">
        <v>15</v>
      </c>
      <c r="E253" s="6" t="s">
        <v>16</v>
      </c>
      <c r="F253" s="6">
        <v>5</v>
      </c>
      <c r="G253" s="15">
        <v>7245</v>
      </c>
      <c r="H253" s="15">
        <v>629</v>
      </c>
      <c r="I253" s="15">
        <v>630</v>
      </c>
      <c r="J253" s="15">
        <v>643</v>
      </c>
      <c r="K253" s="6">
        <v>1</v>
      </c>
      <c r="L253" s="6"/>
      <c r="M253" s="6" t="s">
        <v>17</v>
      </c>
      <c r="N253" s="6">
        <v>185</v>
      </c>
      <c r="O253" s="6" t="s">
        <v>475</v>
      </c>
      <c r="P253" s="7" t="s">
        <v>249</v>
      </c>
      <c r="Q253" s="6" t="s">
        <v>249</v>
      </c>
      <c r="S253" s="14" t="str">
        <f ca="1">IFERROR(__xludf.DUMMYFUNCTION("""COMPUTED_VALUE"""),"バールゼフォン")</f>
        <v>バールゼフォン</v>
      </c>
      <c r="T253" s="14" t="str">
        <f ca="1"/>
        <v>男性</v>
      </c>
      <c r="U253" s="14">
        <f ca="1"/>
        <v>185</v>
      </c>
      <c r="V253" s="14" t="str">
        <f ca="1"/>
        <v>不明</v>
      </c>
      <c r="W253" s="8" t="str">
        <f ca="1"/>
        <v>‐</v>
      </c>
      <c r="X253" s="14" t="str">
        <f ca="1"/>
        <v>‐</v>
      </c>
      <c r="Z253" s="14" t="str">
        <v>雷</v>
      </c>
    </row>
    <row r="254" spans="1:26" ht="15.75" customHeight="1" x14ac:dyDescent="0.25">
      <c r="A254" s="11" t="s">
        <v>427</v>
      </c>
      <c r="B254" s="10" t="s">
        <v>428</v>
      </c>
      <c r="C254" s="6" t="s">
        <v>259</v>
      </c>
      <c r="D254" s="6" t="s">
        <v>32</v>
      </c>
      <c r="E254" s="6" t="s">
        <v>62</v>
      </c>
      <c r="F254" s="6">
        <v>3</v>
      </c>
      <c r="G254" s="15">
        <v>8137</v>
      </c>
      <c r="H254" s="15">
        <v>908</v>
      </c>
      <c r="I254" s="15">
        <v>639</v>
      </c>
      <c r="J254" s="15">
        <v>421</v>
      </c>
      <c r="K254" s="6">
        <v>1</v>
      </c>
      <c r="L254" s="6"/>
      <c r="M254" s="6" t="s">
        <v>30</v>
      </c>
      <c r="N254" s="6">
        <v>152</v>
      </c>
      <c r="O254" s="6" t="s">
        <v>509</v>
      </c>
      <c r="P254" s="7" t="s">
        <v>249</v>
      </c>
      <c r="Q254" s="6" t="s">
        <v>249</v>
      </c>
      <c r="S254" s="14" t="str">
        <f ca="1">IFERROR(__xludf.DUMMYFUNCTION("""COMPUTED_VALUE"""),"アスラフィル")</f>
        <v>アスラフィル</v>
      </c>
      <c r="T254" s="14" t="str">
        <f ca="1"/>
        <v>女性</v>
      </c>
      <c r="U254" s="14">
        <f ca="1"/>
        <v>152</v>
      </c>
      <c r="V254" s="14" t="str">
        <f ca="1"/>
        <v>100↓</v>
      </c>
      <c r="W254" s="8" t="str">
        <f ca="1"/>
        <v>‐</v>
      </c>
      <c r="X254" s="14" t="str">
        <f ca="1"/>
        <v>‐</v>
      </c>
      <c r="Z254" s="14" t="str">
        <v>風</v>
      </c>
    </row>
    <row r="255" spans="1:26" ht="15.75" customHeight="1" x14ac:dyDescent="0.25">
      <c r="A255" s="11" t="s">
        <v>429</v>
      </c>
      <c r="B255" s="5" t="s">
        <v>430</v>
      </c>
      <c r="C255" s="6" t="s">
        <v>259</v>
      </c>
      <c r="D255" s="6" t="s">
        <v>15</v>
      </c>
      <c r="E255" s="6" t="s">
        <v>16</v>
      </c>
      <c r="F255" s="6">
        <v>5</v>
      </c>
      <c r="G255" s="15">
        <v>7111</v>
      </c>
      <c r="H255" s="15">
        <v>1116</v>
      </c>
      <c r="I255" s="15">
        <v>414</v>
      </c>
      <c r="J255" s="15">
        <v>612</v>
      </c>
      <c r="K255" s="6">
        <v>1</v>
      </c>
      <c r="L255" s="6"/>
      <c r="M255" s="6" t="s">
        <v>17</v>
      </c>
      <c r="N255" s="6">
        <v>167</v>
      </c>
      <c r="O255" s="6" t="s">
        <v>475</v>
      </c>
      <c r="P255" s="7" t="s">
        <v>249</v>
      </c>
      <c r="Q255" s="6" t="s">
        <v>249</v>
      </c>
      <c r="S255" s="14" t="str">
        <f ca="1">IFERROR(__xludf.DUMMYFUNCTION("""COMPUTED_VALUE"""),"アクィエル")</f>
        <v>アクィエル</v>
      </c>
      <c r="T255" s="14" t="str">
        <f ca="1"/>
        <v>男性</v>
      </c>
      <c r="U255" s="14">
        <f ca="1"/>
        <v>167</v>
      </c>
      <c r="V255" s="14" t="str">
        <f ca="1"/>
        <v>不明</v>
      </c>
      <c r="W255" s="8" t="str">
        <f ca="1"/>
        <v>‐</v>
      </c>
      <c r="X255" s="14" t="str">
        <f ca="1"/>
        <v>‐</v>
      </c>
      <c r="Z255" s="14" t="str">
        <v>氷</v>
      </c>
    </row>
    <row r="256" spans="1:26" ht="15.75" customHeight="1" x14ac:dyDescent="0.25">
      <c r="A256" s="11" t="s">
        <v>429</v>
      </c>
      <c r="B256" s="9" t="s">
        <v>431</v>
      </c>
      <c r="C256" s="6" t="s">
        <v>259</v>
      </c>
      <c r="D256" s="6" t="s">
        <v>21</v>
      </c>
      <c r="E256" s="6" t="s">
        <v>16</v>
      </c>
      <c r="F256" s="6">
        <v>4</v>
      </c>
      <c r="G256" s="15">
        <v>8024</v>
      </c>
      <c r="H256" s="15">
        <v>857</v>
      </c>
      <c r="I256" s="15">
        <v>425</v>
      </c>
      <c r="J256" s="15">
        <v>681</v>
      </c>
      <c r="K256" s="6">
        <v>1</v>
      </c>
      <c r="L256" s="6"/>
      <c r="M256" s="6" t="s">
        <v>17</v>
      </c>
      <c r="N256" s="6">
        <v>167</v>
      </c>
      <c r="O256" s="6" t="s">
        <v>475</v>
      </c>
      <c r="P256" s="7" t="s">
        <v>249</v>
      </c>
      <c r="Q256" s="6" t="s">
        <v>249</v>
      </c>
      <c r="S256" s="14" t="str">
        <f ca="1">IFERROR(__xludf.DUMMYFUNCTION("""COMPUTED_VALUE"""),"アクィエル")</f>
        <v>アクィエル</v>
      </c>
      <c r="T256" s="14" t="str">
        <f ca="1"/>
        <v>男性</v>
      </c>
      <c r="U256" s="14">
        <f ca="1"/>
        <v>167</v>
      </c>
      <c r="V256" s="14" t="str">
        <f ca="1"/>
        <v>不明</v>
      </c>
      <c r="W256" s="8" t="str">
        <f ca="1"/>
        <v>‐</v>
      </c>
      <c r="X256" s="14" t="str">
        <f ca="1"/>
        <v>‐</v>
      </c>
      <c r="Z256" s="14" t="str">
        <v>氷</v>
      </c>
    </row>
    <row r="257" spans="1:26" ht="15.75" customHeight="1" x14ac:dyDescent="0.25">
      <c r="A257" s="11" t="s">
        <v>432</v>
      </c>
      <c r="B257" s="10" t="s">
        <v>433</v>
      </c>
      <c r="C257" s="6" t="s">
        <v>259</v>
      </c>
      <c r="D257" s="6" t="s">
        <v>32</v>
      </c>
      <c r="E257" s="6" t="s">
        <v>62</v>
      </c>
      <c r="F257" s="6">
        <v>3</v>
      </c>
      <c r="G257" s="15">
        <v>8703</v>
      </c>
      <c r="H257" s="15">
        <v>1201</v>
      </c>
      <c r="I257" s="15">
        <v>285</v>
      </c>
      <c r="J257" s="15">
        <v>492</v>
      </c>
      <c r="K257" s="6">
        <v>2</v>
      </c>
      <c r="L257" s="6"/>
      <c r="M257" s="6" t="s">
        <v>17</v>
      </c>
      <c r="N257" s="6">
        <v>170</v>
      </c>
      <c r="O257" s="6" t="s">
        <v>475</v>
      </c>
      <c r="P257" s="7" t="s">
        <v>249</v>
      </c>
      <c r="Q257" s="6" t="s">
        <v>249</v>
      </c>
      <c r="S257" s="14" t="str">
        <f ca="1">IFERROR(__xludf.DUMMYFUNCTION("""COMPUTED_VALUE"""),"ゲイボルグ")</f>
        <v>ゲイボルグ</v>
      </c>
      <c r="T257" s="14" t="str">
        <f ca="1"/>
        <v>男性</v>
      </c>
      <c r="U257" s="14">
        <f ca="1"/>
        <v>170</v>
      </c>
      <c r="V257" s="14" t="str">
        <f ca="1"/>
        <v>不明</v>
      </c>
      <c r="W257" s="8" t="str">
        <f ca="1"/>
        <v>‐</v>
      </c>
      <c r="X257" s="14" t="str">
        <f ca="1"/>
        <v>‐</v>
      </c>
      <c r="Z257" s="14" t="str">
        <v>氷</v>
      </c>
    </row>
    <row r="258" spans="1:26" x14ac:dyDescent="0.25">
      <c r="A258" s="12" t="s">
        <v>434</v>
      </c>
      <c r="B258" s="5" t="s">
        <v>435</v>
      </c>
      <c r="C258" s="6" t="s">
        <v>124</v>
      </c>
      <c r="D258" s="6" t="s">
        <v>15</v>
      </c>
      <c r="E258" s="6" t="s">
        <v>16</v>
      </c>
      <c r="F258" s="6">
        <v>6</v>
      </c>
      <c r="G258" s="15">
        <v>10094</v>
      </c>
      <c r="H258" s="15">
        <v>404</v>
      </c>
      <c r="I258" s="15">
        <v>610</v>
      </c>
      <c r="J258" s="15">
        <v>718</v>
      </c>
      <c r="K258" s="6">
        <v>1</v>
      </c>
      <c r="L258" s="6" t="s">
        <v>146</v>
      </c>
      <c r="M258" s="6" t="s">
        <v>30</v>
      </c>
      <c r="N258" s="6">
        <v>160</v>
      </c>
      <c r="O258" s="6" t="s">
        <v>475</v>
      </c>
      <c r="P258" s="7" t="s">
        <v>249</v>
      </c>
      <c r="Q258" s="6" t="s">
        <v>249</v>
      </c>
      <c r="S258" s="14" t="str">
        <f ca="1">IFERROR(__xludf.DUMMYFUNCTION("""COMPUTED_VALUE"""),"リリス")</f>
        <v>リリス</v>
      </c>
      <c r="T258" s="14" t="str">
        <f ca="1"/>
        <v>女性</v>
      </c>
      <c r="U258" s="14">
        <f ca="1"/>
        <v>160</v>
      </c>
      <c r="V258" s="14" t="str">
        <f ca="1"/>
        <v>不明</v>
      </c>
      <c r="W258" s="8" t="str">
        <f ca="1"/>
        <v>‐</v>
      </c>
      <c r="X258" s="14" t="str">
        <f ca="1"/>
        <v>‐</v>
      </c>
      <c r="Z258" s="14" t="str">
        <v>風</v>
      </c>
    </row>
    <row r="259" spans="1:26" ht="30" x14ac:dyDescent="0.25">
      <c r="A259" s="12" t="s">
        <v>436</v>
      </c>
      <c r="B259" s="9" t="s">
        <v>437</v>
      </c>
      <c r="C259" s="6" t="s">
        <v>124</v>
      </c>
      <c r="D259" s="6" t="s">
        <v>21</v>
      </c>
      <c r="E259" s="6" t="s">
        <v>62</v>
      </c>
      <c r="F259" s="6">
        <v>4</v>
      </c>
      <c r="G259" s="15">
        <v>8215</v>
      </c>
      <c r="H259" s="15">
        <v>1183</v>
      </c>
      <c r="I259" s="15">
        <v>440</v>
      </c>
      <c r="J259" s="15">
        <v>677</v>
      </c>
      <c r="K259" s="6">
        <v>1</v>
      </c>
      <c r="L259" s="6"/>
      <c r="M259" s="6" t="s">
        <v>17</v>
      </c>
      <c r="N259" s="6">
        <v>172</v>
      </c>
      <c r="O259" s="6" t="s">
        <v>510</v>
      </c>
      <c r="P259" s="7" t="s">
        <v>249</v>
      </c>
      <c r="Q259" s="6" t="s">
        <v>249</v>
      </c>
      <c r="S259" s="14" t="str">
        <f ca="1">IFERROR(__xludf.DUMMYFUNCTION("""COMPUTED_VALUE"""),"バールベリト")</f>
        <v>バールベリト</v>
      </c>
      <c r="T259" s="14" t="str">
        <f ca="1"/>
        <v>男性</v>
      </c>
      <c r="U259" s="14">
        <f ca="1"/>
        <v>172</v>
      </c>
      <c r="V259" s="14" t="str">
        <f ca="1"/>
        <v>500↑</v>
      </c>
      <c r="W259" s="8" t="str">
        <f ca="1"/>
        <v>‐</v>
      </c>
      <c r="X259" s="14" t="str">
        <f ca="1"/>
        <v>‐</v>
      </c>
      <c r="Z259" s="14" t="str">
        <v>氷</v>
      </c>
    </row>
    <row r="260" spans="1:26" ht="30" x14ac:dyDescent="0.25">
      <c r="A260" s="12" t="s">
        <v>438</v>
      </c>
      <c r="B260" s="5" t="s">
        <v>439</v>
      </c>
      <c r="C260" s="6" t="s">
        <v>124</v>
      </c>
      <c r="D260" s="6" t="s">
        <v>15</v>
      </c>
      <c r="E260" s="6" t="s">
        <v>29</v>
      </c>
      <c r="F260" s="6">
        <v>6</v>
      </c>
      <c r="G260" s="15">
        <v>10683</v>
      </c>
      <c r="H260" s="15">
        <v>1407</v>
      </c>
      <c r="I260" s="15">
        <v>495</v>
      </c>
      <c r="J260" s="15">
        <v>302</v>
      </c>
      <c r="K260" s="6">
        <v>1</v>
      </c>
      <c r="L260" s="6"/>
      <c r="M260" s="6" t="s">
        <v>17</v>
      </c>
      <c r="N260" s="6">
        <v>186</v>
      </c>
      <c r="O260" s="6" t="s">
        <v>510</v>
      </c>
      <c r="P260" s="7" t="s">
        <v>249</v>
      </c>
      <c r="Q260" s="6" t="s">
        <v>249</v>
      </c>
      <c r="S260" s="14" t="str">
        <f ca="1">IFERROR(__xludf.DUMMYFUNCTION("""COMPUTED_VALUE"""),"エウリノーム")</f>
        <v>エウリノーム</v>
      </c>
      <c r="T260" s="14" t="str">
        <f ca="1"/>
        <v>男性</v>
      </c>
      <c r="U260" s="14">
        <f ca="1"/>
        <v>186</v>
      </c>
      <c r="V260" s="14" t="str">
        <f ca="1"/>
        <v>500↑</v>
      </c>
      <c r="W260" s="8" t="str">
        <f ca="1"/>
        <v>‐</v>
      </c>
      <c r="X260" s="14" t="str">
        <f ca="1"/>
        <v>‐</v>
      </c>
      <c r="Z260" s="14" t="str">
        <v>地</v>
      </c>
    </row>
    <row r="261" spans="1:26" ht="30" x14ac:dyDescent="0.25">
      <c r="A261" s="12" t="s">
        <v>440</v>
      </c>
      <c r="B261" s="9" t="s">
        <v>441</v>
      </c>
      <c r="C261" s="6" t="s">
        <v>124</v>
      </c>
      <c r="D261" s="6" t="s">
        <v>21</v>
      </c>
      <c r="E261" s="6" t="s">
        <v>29</v>
      </c>
      <c r="F261" s="6">
        <v>3</v>
      </c>
      <c r="G261" s="15">
        <v>9629</v>
      </c>
      <c r="H261" s="15">
        <v>1396</v>
      </c>
      <c r="I261" s="15">
        <v>303</v>
      </c>
      <c r="J261" s="15">
        <v>610</v>
      </c>
      <c r="K261" s="6">
        <v>2</v>
      </c>
      <c r="L261" s="6"/>
      <c r="M261" s="6" t="s">
        <v>17</v>
      </c>
      <c r="N261" s="6">
        <v>188</v>
      </c>
      <c r="O261" s="6" t="s">
        <v>510</v>
      </c>
      <c r="P261" s="7" t="s">
        <v>249</v>
      </c>
      <c r="Q261" s="6" t="s">
        <v>249</v>
      </c>
      <c r="S261" s="14" t="str">
        <f ca="1">IFERROR(__xludf.DUMMYFUNCTION("""COMPUTED_VALUE"""),"ベルゼブフ")</f>
        <v>ベルゼブフ</v>
      </c>
      <c r="T261" s="14" t="str">
        <f ca="1"/>
        <v>男性</v>
      </c>
      <c r="U261" s="14">
        <f ca="1"/>
        <v>188</v>
      </c>
      <c r="V261" s="14" t="str">
        <f ca="1"/>
        <v>500↑</v>
      </c>
      <c r="W261" s="8" t="str">
        <f ca="1"/>
        <v>‐</v>
      </c>
      <c r="X261" s="14" t="str">
        <f ca="1"/>
        <v>‐</v>
      </c>
      <c r="Z261" s="14" t="str">
        <v>氷</v>
      </c>
    </row>
    <row r="262" spans="1:26" x14ac:dyDescent="0.25">
      <c r="A262" s="12" t="s">
        <v>442</v>
      </c>
      <c r="B262" s="5" t="s">
        <v>443</v>
      </c>
      <c r="C262" s="6" t="s">
        <v>124</v>
      </c>
      <c r="D262" s="6" t="s">
        <v>15</v>
      </c>
      <c r="E262" s="6" t="s">
        <v>29</v>
      </c>
      <c r="F262" s="6">
        <v>6</v>
      </c>
      <c r="G262" s="15">
        <v>11369</v>
      </c>
      <c r="H262" s="15">
        <v>1638</v>
      </c>
      <c r="I262" s="15">
        <v>438</v>
      </c>
      <c r="J262" s="15">
        <v>274</v>
      </c>
      <c r="K262" s="6">
        <v>1</v>
      </c>
      <c r="L262" s="6"/>
      <c r="M262" s="6" t="s">
        <v>17</v>
      </c>
      <c r="N262" s="6">
        <v>189</v>
      </c>
      <c r="O262" s="6" t="s">
        <v>510</v>
      </c>
      <c r="P262" s="7" t="s">
        <v>249</v>
      </c>
      <c r="Q262" s="6" t="s">
        <v>249</v>
      </c>
      <c r="S262" s="14" t="str">
        <f ca="1">IFERROR(__xludf.DUMMYFUNCTION("""COMPUTED_VALUE"""),"サタン")</f>
        <v>サタン</v>
      </c>
      <c r="T262" s="14" t="str">
        <f ca="1"/>
        <v>男性</v>
      </c>
      <c r="U262" s="14">
        <f ca="1"/>
        <v>189</v>
      </c>
      <c r="V262" s="14" t="str">
        <f ca="1"/>
        <v>500↑</v>
      </c>
      <c r="W262" s="8" t="str">
        <f ca="1"/>
        <v>‐</v>
      </c>
      <c r="X262" s="14" t="str">
        <f ca="1"/>
        <v>‐</v>
      </c>
      <c r="Z262" s="14" t="str">
        <v>火</v>
      </c>
    </row>
    <row r="263" spans="1:26" x14ac:dyDescent="0.25">
      <c r="A263" s="12" t="s">
        <v>444</v>
      </c>
      <c r="B263" s="5" t="s">
        <v>445</v>
      </c>
      <c r="C263" s="6" t="s">
        <v>124</v>
      </c>
      <c r="D263" s="6" t="s">
        <v>15</v>
      </c>
      <c r="E263" s="6" t="s">
        <v>29</v>
      </c>
      <c r="F263" s="6">
        <v>5</v>
      </c>
      <c r="G263" s="15">
        <v>8018</v>
      </c>
      <c r="H263" s="15">
        <v>1228</v>
      </c>
      <c r="I263" s="15">
        <v>860</v>
      </c>
      <c r="J263" s="15">
        <v>256</v>
      </c>
      <c r="K263" s="6">
        <v>1</v>
      </c>
      <c r="L263" s="6"/>
      <c r="M263" s="6" t="s">
        <v>17</v>
      </c>
      <c r="N263" s="6">
        <v>230</v>
      </c>
      <c r="O263" s="6" t="s">
        <v>475</v>
      </c>
      <c r="P263" s="7" t="s">
        <v>249</v>
      </c>
      <c r="Q263" s="6" t="s">
        <v>249</v>
      </c>
      <c r="S263" s="14" t="str">
        <f ca="1">IFERROR(__xludf.DUMMYFUNCTION("""COMPUTED_VALUE"""),"モレク")</f>
        <v>モレク</v>
      </c>
      <c r="T263" s="14" t="str">
        <f ca="1"/>
        <v>男性</v>
      </c>
      <c r="U263" s="14">
        <f ca="1"/>
        <v>230</v>
      </c>
      <c r="V263" s="14" t="str">
        <f ca="1"/>
        <v>不明</v>
      </c>
      <c r="W263" s="8" t="str">
        <f ca="1"/>
        <v>‐</v>
      </c>
      <c r="X263" s="14" t="str">
        <f ca="1"/>
        <v>‐</v>
      </c>
      <c r="Z263" s="14" t="str">
        <v>雷</v>
      </c>
    </row>
    <row r="264" spans="1:26" ht="30" x14ac:dyDescent="0.25">
      <c r="A264" s="13" t="s">
        <v>446</v>
      </c>
      <c r="B264" s="5" t="s">
        <v>447</v>
      </c>
      <c r="C264" s="6" t="s">
        <v>20</v>
      </c>
      <c r="D264" s="6" t="s">
        <v>15</v>
      </c>
      <c r="E264" s="6" t="s">
        <v>29</v>
      </c>
      <c r="F264" s="6">
        <v>6</v>
      </c>
      <c r="G264" s="15">
        <v>7615</v>
      </c>
      <c r="H264" s="15">
        <v>1220</v>
      </c>
      <c r="I264" s="15">
        <v>502</v>
      </c>
      <c r="J264" s="15">
        <v>383</v>
      </c>
      <c r="K264" s="6">
        <v>1</v>
      </c>
      <c r="L264" s="6"/>
      <c r="M264" s="6" t="s">
        <v>17</v>
      </c>
      <c r="N264" s="6">
        <v>166</v>
      </c>
      <c r="O264" s="6">
        <v>17</v>
      </c>
      <c r="P264" s="7">
        <v>45417</v>
      </c>
      <c r="Q264" s="6" t="s">
        <v>517</v>
      </c>
      <c r="S264" s="14" t="str">
        <f ca="1">IFERROR(__xludf.DUMMYFUNCTION("""COMPUTED_VALUE"""),"カガセオ")</f>
        <v>カガセオ</v>
      </c>
      <c r="T264" s="14" t="str">
        <f ca="1"/>
        <v>男性</v>
      </c>
      <c r="U264" s="14">
        <f ca="1"/>
        <v>166</v>
      </c>
      <c r="V264" s="14">
        <f ca="1"/>
        <v>17</v>
      </c>
      <c r="W264" s="8">
        <f ca="1"/>
        <v>45417</v>
      </c>
      <c r="X264" s="14" t="str">
        <f ca="1"/>
        <v>ツルギ</v>
      </c>
      <c r="Z264" s="14" t="str">
        <v>火</v>
      </c>
    </row>
    <row r="265" spans="1:26" ht="30" x14ac:dyDescent="0.25">
      <c r="A265" s="13" t="s">
        <v>448</v>
      </c>
      <c r="B265" s="9" t="s">
        <v>449</v>
      </c>
      <c r="C265" s="6" t="s">
        <v>20</v>
      </c>
      <c r="D265" s="6" t="s">
        <v>21</v>
      </c>
      <c r="E265" s="6" t="s">
        <v>62</v>
      </c>
      <c r="F265" s="6">
        <v>3</v>
      </c>
      <c r="G265" s="15">
        <v>8223</v>
      </c>
      <c r="H265" s="15">
        <v>524</v>
      </c>
      <c r="I265" s="15">
        <v>507</v>
      </c>
      <c r="J265" s="15">
        <v>668</v>
      </c>
      <c r="K265" s="6">
        <v>1</v>
      </c>
      <c r="L265" s="6" t="s">
        <v>146</v>
      </c>
      <c r="M265" s="6" t="s">
        <v>30</v>
      </c>
      <c r="N265" s="6">
        <v>174</v>
      </c>
      <c r="O265" s="6">
        <v>26</v>
      </c>
      <c r="P265" s="7">
        <v>45480</v>
      </c>
      <c r="Q265" s="6" t="s">
        <v>518</v>
      </c>
      <c r="S265" s="14" t="str">
        <f ca="1">IFERROR(__xludf.DUMMYFUNCTION("""COMPUTED_VALUE"""),"マナナンガル")</f>
        <v>マナナンガル</v>
      </c>
      <c r="T265" s="14" t="str">
        <f ca="1"/>
        <v>女性</v>
      </c>
      <c r="U265" s="14">
        <f ca="1"/>
        <v>174</v>
      </c>
      <c r="V265" s="14">
        <f ca="1"/>
        <v>26</v>
      </c>
      <c r="W265" s="8">
        <f ca="1"/>
        <v>45480</v>
      </c>
      <c r="X265" s="14" t="str">
        <f ca="1"/>
        <v>エンラ</v>
      </c>
      <c r="Z265" s="14" t="str">
        <v>風</v>
      </c>
    </row>
    <row r="266" spans="1:26" ht="30" x14ac:dyDescent="0.25">
      <c r="A266" s="13" t="s">
        <v>450</v>
      </c>
      <c r="B266" s="9" t="s">
        <v>451</v>
      </c>
      <c r="C266" s="6" t="s">
        <v>20</v>
      </c>
      <c r="D266" s="6" t="s">
        <v>21</v>
      </c>
      <c r="E266" s="6" t="s">
        <v>62</v>
      </c>
      <c r="F266" s="6">
        <v>3</v>
      </c>
      <c r="G266" s="15">
        <v>9017</v>
      </c>
      <c r="H266" s="15">
        <v>739</v>
      </c>
      <c r="I266" s="15">
        <v>722</v>
      </c>
      <c r="J266" s="15">
        <v>281</v>
      </c>
      <c r="K266" s="6">
        <v>1</v>
      </c>
      <c r="L266" s="6"/>
      <c r="M266" s="6" t="s">
        <v>17</v>
      </c>
      <c r="N266" s="6">
        <v>171</v>
      </c>
      <c r="O266" s="6">
        <v>32</v>
      </c>
      <c r="P266" s="7">
        <v>45233</v>
      </c>
      <c r="Q266" s="6" t="s">
        <v>519</v>
      </c>
      <c r="S266" s="14" t="str">
        <f ca="1">IFERROR(__xludf.DUMMYFUNCTION("""COMPUTED_VALUE"""),"シェンウー")</f>
        <v>シェンウー</v>
      </c>
      <c r="T266" s="14" t="str">
        <f ca="1"/>
        <v>男性</v>
      </c>
      <c r="U266" s="14">
        <f ca="1"/>
        <v>171</v>
      </c>
      <c r="V266" s="14">
        <f ca="1"/>
        <v>32</v>
      </c>
      <c r="W266" s="8">
        <f ca="1"/>
        <v>45233</v>
      </c>
      <c r="X266" s="14" t="str">
        <f ca="1"/>
        <v>リンクィ</v>
      </c>
      <c r="Z266" s="14" t="str">
        <v>水</v>
      </c>
    </row>
    <row r="267" spans="1:26" ht="30" x14ac:dyDescent="0.25">
      <c r="A267" s="13" t="s">
        <v>452</v>
      </c>
      <c r="B267" s="9" t="s">
        <v>453</v>
      </c>
      <c r="C267" s="6" t="s">
        <v>20</v>
      </c>
      <c r="D267" s="6" t="s">
        <v>21</v>
      </c>
      <c r="E267" s="6" t="s">
        <v>62</v>
      </c>
      <c r="F267" s="6">
        <v>5</v>
      </c>
      <c r="G267" s="15">
        <v>8801</v>
      </c>
      <c r="H267" s="15">
        <v>1300</v>
      </c>
      <c r="I267" s="15">
        <v>438</v>
      </c>
      <c r="J267" s="15">
        <v>391</v>
      </c>
      <c r="K267" s="6">
        <v>2</v>
      </c>
      <c r="L267" s="6"/>
      <c r="M267" s="6" t="s">
        <v>17</v>
      </c>
      <c r="N267" s="6">
        <v>195</v>
      </c>
      <c r="O267" s="6">
        <v>41</v>
      </c>
      <c r="P267" s="7">
        <v>45103</v>
      </c>
      <c r="Q267" s="6" t="s">
        <v>520</v>
      </c>
      <c r="S267" s="14" t="str">
        <f ca="1">IFERROR(__xludf.DUMMYFUNCTION("""COMPUTED_VALUE"""),"チンロン")</f>
        <v>チンロン</v>
      </c>
      <c r="T267" s="14" t="str">
        <f ca="1"/>
        <v>男性</v>
      </c>
      <c r="U267" s="14">
        <f ca="1"/>
        <v>195</v>
      </c>
      <c r="V267" s="14">
        <f ca="1"/>
        <v>41</v>
      </c>
      <c r="W267" s="8">
        <f ca="1"/>
        <v>45103</v>
      </c>
      <c r="X267" s="14" t="str">
        <f ca="1"/>
        <v>ビセン</v>
      </c>
      <c r="Z267" s="14" t="str">
        <v>雷</v>
      </c>
    </row>
    <row r="268" spans="1:26" ht="30" x14ac:dyDescent="0.25">
      <c r="A268" s="13" t="s">
        <v>454</v>
      </c>
      <c r="B268" s="5" t="s">
        <v>455</v>
      </c>
      <c r="C268" s="6" t="s">
        <v>20</v>
      </c>
      <c r="D268" s="6" t="s">
        <v>15</v>
      </c>
      <c r="E268" s="6" t="s">
        <v>62</v>
      </c>
      <c r="F268" s="6">
        <v>6</v>
      </c>
      <c r="G268" s="15">
        <v>8471</v>
      </c>
      <c r="H268" s="15">
        <v>530</v>
      </c>
      <c r="I268" s="15">
        <v>499</v>
      </c>
      <c r="J268" s="15">
        <v>650</v>
      </c>
      <c r="K268" s="6">
        <v>1</v>
      </c>
      <c r="L268" s="6"/>
      <c r="M268" s="6" t="s">
        <v>30</v>
      </c>
      <c r="N268" s="6">
        <v>154</v>
      </c>
      <c r="O268" s="6">
        <v>19</v>
      </c>
      <c r="P268" s="7">
        <v>45283</v>
      </c>
      <c r="Q268" s="6" t="s">
        <v>521</v>
      </c>
      <c r="S268" s="14" t="str">
        <f ca="1">IFERROR(__xludf.DUMMYFUNCTION("""COMPUTED_VALUE"""),"バイフー")</f>
        <v>バイフー</v>
      </c>
      <c r="T268" s="14" t="str">
        <f ca="1"/>
        <v>女性</v>
      </c>
      <c r="U268" s="14">
        <f ca="1"/>
        <v>154</v>
      </c>
      <c r="V268" s="14">
        <f ca="1"/>
        <v>19</v>
      </c>
      <c r="W268" s="8">
        <f ca="1"/>
        <v>45283</v>
      </c>
      <c r="X268" s="14" t="str">
        <f ca="1"/>
        <v>シュエ</v>
      </c>
      <c r="Z268" s="14" t="str">
        <v>氷</v>
      </c>
    </row>
    <row r="269" spans="1:26" ht="30" x14ac:dyDescent="0.25">
      <c r="A269" s="13" t="s">
        <v>456</v>
      </c>
      <c r="B269" s="10" t="s">
        <v>457</v>
      </c>
      <c r="C269" s="6" t="s">
        <v>20</v>
      </c>
      <c r="D269" s="6" t="s">
        <v>32</v>
      </c>
      <c r="E269" s="6" t="s">
        <v>16</v>
      </c>
      <c r="F269" s="6">
        <v>3</v>
      </c>
      <c r="G269" s="15">
        <v>6298</v>
      </c>
      <c r="H269" s="15">
        <v>1347</v>
      </c>
      <c r="I269" s="15">
        <v>381</v>
      </c>
      <c r="J269" s="15">
        <v>612</v>
      </c>
      <c r="K269" s="6">
        <v>2</v>
      </c>
      <c r="L269" s="6" t="s">
        <v>146</v>
      </c>
      <c r="M269" s="6" t="s">
        <v>30</v>
      </c>
      <c r="N269" s="6">
        <v>160</v>
      </c>
      <c r="O269" s="6">
        <v>14</v>
      </c>
      <c r="P269" s="7">
        <v>44971</v>
      </c>
      <c r="Q269" s="6" t="s">
        <v>522</v>
      </c>
      <c r="S269" s="14" t="str">
        <f ca="1">IFERROR(__xludf.DUMMYFUNCTION("""COMPUTED_VALUE"""),"チューチャオ")</f>
        <v>チューチャオ</v>
      </c>
      <c r="T269" s="14" t="str">
        <f ca="1"/>
        <v>女性</v>
      </c>
      <c r="U269" s="14">
        <f ca="1"/>
        <v>160</v>
      </c>
      <c r="V269" s="14">
        <f ca="1"/>
        <v>14</v>
      </c>
      <c r="W269" s="8">
        <f ca="1"/>
        <v>44971</v>
      </c>
      <c r="X269" s="14" t="str">
        <f ca="1"/>
        <v>ヒバリ</v>
      </c>
      <c r="Z269" s="14" t="str">
        <v>火</v>
      </c>
    </row>
    <row r="270" spans="1:26" ht="30" x14ac:dyDescent="0.25">
      <c r="A270" s="13" t="s">
        <v>458</v>
      </c>
      <c r="B270" s="10" t="s">
        <v>459</v>
      </c>
      <c r="C270" s="6" t="s">
        <v>20</v>
      </c>
      <c r="D270" s="6" t="s">
        <v>32</v>
      </c>
      <c r="E270" s="6" t="s">
        <v>62</v>
      </c>
      <c r="F270" s="6">
        <v>4</v>
      </c>
      <c r="G270" s="15">
        <v>7015</v>
      </c>
      <c r="H270" s="15">
        <v>1208</v>
      </c>
      <c r="I270" s="15">
        <v>381</v>
      </c>
      <c r="J270" s="15">
        <v>611</v>
      </c>
      <c r="K270" s="6">
        <v>3</v>
      </c>
      <c r="L270" s="6"/>
      <c r="M270" s="6" t="s">
        <v>17</v>
      </c>
      <c r="N270" s="6">
        <v>165</v>
      </c>
      <c r="O270" s="6">
        <v>20</v>
      </c>
      <c r="P270" s="7">
        <v>44992</v>
      </c>
      <c r="Q270" s="6" t="s">
        <v>523</v>
      </c>
      <c r="S270" s="14" t="str">
        <f ca="1">IFERROR(__xludf.DUMMYFUNCTION("""COMPUTED_VALUE"""),"チユエン")</f>
        <v>チユエン</v>
      </c>
      <c r="T270" s="14" t="str">
        <f ca="1"/>
        <v>男性</v>
      </c>
      <c r="U270" s="14">
        <f ca="1"/>
        <v>165</v>
      </c>
      <c r="V270" s="14">
        <f ca="1"/>
        <v>20</v>
      </c>
      <c r="W270" s="8">
        <f ca="1"/>
        <v>44992</v>
      </c>
      <c r="X270" s="14" t="str">
        <f ca="1"/>
        <v>ウーコン</v>
      </c>
      <c r="Z270" s="14" t="str">
        <v>風</v>
      </c>
    </row>
    <row r="271" spans="1:26" ht="30" x14ac:dyDescent="0.25">
      <c r="A271" s="13" t="s">
        <v>460</v>
      </c>
      <c r="B271" s="9" t="s">
        <v>461</v>
      </c>
      <c r="C271" s="6" t="s">
        <v>20</v>
      </c>
      <c r="D271" s="6" t="s">
        <v>21</v>
      </c>
      <c r="E271" s="6" t="s">
        <v>62</v>
      </c>
      <c r="F271" s="6">
        <v>4</v>
      </c>
      <c r="G271" s="15">
        <v>8025</v>
      </c>
      <c r="H271" s="15">
        <v>1087</v>
      </c>
      <c r="I271" s="15">
        <v>388</v>
      </c>
      <c r="J271" s="15">
        <v>612</v>
      </c>
      <c r="K271" s="6">
        <v>1</v>
      </c>
      <c r="L271" s="6"/>
      <c r="M271" s="6" t="s">
        <v>17</v>
      </c>
      <c r="N271" s="6">
        <v>186</v>
      </c>
      <c r="O271" s="6">
        <v>22</v>
      </c>
      <c r="P271" s="7">
        <v>45173</v>
      </c>
      <c r="Q271" s="6" t="s">
        <v>524</v>
      </c>
      <c r="S271" s="14" t="str">
        <f ca="1">IFERROR(__xludf.DUMMYFUNCTION("""COMPUTED_VALUE"""),"ヴリトラ")</f>
        <v>ヴリトラ</v>
      </c>
      <c r="T271" s="14" t="str">
        <f ca="1"/>
        <v>男性</v>
      </c>
      <c r="U271" s="14">
        <f ca="1"/>
        <v>186</v>
      </c>
      <c r="V271" s="14">
        <f ca="1"/>
        <v>22</v>
      </c>
      <c r="W271" s="8">
        <f ca="1"/>
        <v>45173</v>
      </c>
      <c r="X271" s="14" t="str">
        <f ca="1"/>
        <v>ファングー</v>
      </c>
      <c r="Z271" s="14" t="str">
        <v>氷</v>
      </c>
    </row>
    <row r="272" spans="1:26" ht="30" x14ac:dyDescent="0.25">
      <c r="A272" s="13" t="s">
        <v>462</v>
      </c>
      <c r="B272" s="9" t="s">
        <v>463</v>
      </c>
      <c r="C272" s="6" t="s">
        <v>20</v>
      </c>
      <c r="D272" s="6" t="s">
        <v>21</v>
      </c>
      <c r="E272" s="6" t="s">
        <v>16</v>
      </c>
      <c r="F272" s="6">
        <v>4</v>
      </c>
      <c r="G272" s="15">
        <v>9281</v>
      </c>
      <c r="H272" s="15">
        <v>477</v>
      </c>
      <c r="I272" s="15">
        <v>538</v>
      </c>
      <c r="J272" s="15">
        <v>610</v>
      </c>
      <c r="K272" s="6">
        <v>1</v>
      </c>
      <c r="L272" s="6" t="s">
        <v>146</v>
      </c>
      <c r="M272" s="6" t="s">
        <v>30</v>
      </c>
      <c r="N272" s="6">
        <v>170</v>
      </c>
      <c r="O272" s="6" t="s">
        <v>525</v>
      </c>
      <c r="P272" s="7">
        <v>44927</v>
      </c>
      <c r="Q272" s="6" t="s">
        <v>526</v>
      </c>
      <c r="S272" s="14" t="str">
        <f ca="1">IFERROR(__xludf.DUMMYFUNCTION("""COMPUTED_VALUE"""),"フーリーチン")</f>
        <v>フーリーチン</v>
      </c>
      <c r="T272" s="14" t="str">
        <f ca="1"/>
        <v>女性</v>
      </c>
      <c r="U272" s="14">
        <f ca="1"/>
        <v>170</v>
      </c>
      <c r="V272" s="14" t="str">
        <f ca="1"/>
        <v>200↑</v>
      </c>
      <c r="W272" s="8">
        <f ca="1"/>
        <v>44927</v>
      </c>
      <c r="X272" s="14" t="str">
        <f ca="1"/>
        <v>クズハ</v>
      </c>
      <c r="Z272" s="14" t="str">
        <v>火</v>
      </c>
    </row>
    <row r="273" spans="1:26" ht="30" x14ac:dyDescent="0.25">
      <c r="A273" s="13" t="s">
        <v>464</v>
      </c>
      <c r="B273" s="9" t="s">
        <v>465</v>
      </c>
      <c r="C273" s="6" t="s">
        <v>20</v>
      </c>
      <c r="D273" s="6" t="s">
        <v>21</v>
      </c>
      <c r="E273" s="6" t="s">
        <v>62</v>
      </c>
      <c r="F273" s="6">
        <v>4</v>
      </c>
      <c r="G273" s="15">
        <v>7272</v>
      </c>
      <c r="H273" s="15">
        <v>957</v>
      </c>
      <c r="I273" s="15">
        <v>291</v>
      </c>
      <c r="J273" s="15">
        <v>706</v>
      </c>
      <c r="K273" s="6">
        <v>2</v>
      </c>
      <c r="L273" s="6"/>
      <c r="M273" s="6" t="s">
        <v>17</v>
      </c>
      <c r="N273" s="6">
        <v>175</v>
      </c>
      <c r="O273" s="6">
        <v>36</v>
      </c>
      <c r="P273" s="7">
        <v>46140</v>
      </c>
      <c r="Q273" s="6" t="s">
        <v>527</v>
      </c>
      <c r="S273" s="14" t="str">
        <f ca="1">IFERROR(__xludf.DUMMYFUNCTION("""COMPUTED_VALUE"""),"アンダカ")</f>
        <v>アンダカ</v>
      </c>
      <c r="T273" s="14" t="str">
        <f ca="1"/>
        <v>男性</v>
      </c>
      <c r="U273" s="14">
        <f ca="1"/>
        <v>175</v>
      </c>
      <c r="V273" s="14">
        <f ca="1"/>
        <v>36</v>
      </c>
      <c r="W273" s="8">
        <f ca="1"/>
        <v>46140</v>
      </c>
      <c r="X273" s="14" t="str">
        <f ca="1"/>
        <v>セーゲン</v>
      </c>
      <c r="Z273" s="14" t="str">
        <v>風</v>
      </c>
    </row>
    <row r="274" spans="1:26" ht="15.75" customHeight="1" x14ac:dyDescent="0.25">
      <c r="S274" s="14" t="str">
        <f ca="1">IFERROR(__xludf.DUMMYFUNCTION("""COMPUTED_VALUE"""),"")</f>
        <v/>
      </c>
      <c r="T274" s="14" t="e">
        <f ca="1"/>
        <v>#N/A</v>
      </c>
      <c r="U274" s="14" t="e">
        <f ca="1"/>
        <v>#N/A</v>
      </c>
      <c r="V274" s="14" t="e">
        <f ca="1"/>
        <v>#N/A</v>
      </c>
      <c r="W274" s="8" t="e">
        <f ca="1"/>
        <v>#N/A</v>
      </c>
      <c r="X274" s="14" t="e">
        <f ca="1"/>
        <v>#N/A</v>
      </c>
    </row>
    <row r="275" spans="1:26" ht="15.75" customHeight="1" x14ac:dyDescent="0.25">
      <c r="S275" s="14" t="str">
        <f ca="1">IFERROR(__xludf.DUMMYFUNCTION("""COMPUTED_VALUE"""),"")</f>
        <v/>
      </c>
      <c r="T275" s="14" t="e">
        <f ca="1"/>
        <v>#N/A</v>
      </c>
      <c r="U275" s="14" t="e">
        <f ca="1"/>
        <v>#N/A</v>
      </c>
      <c r="V275" s="14" t="e">
        <f ca="1"/>
        <v>#N/A</v>
      </c>
      <c r="W275" s="8" t="e">
        <f ca="1"/>
        <v>#N/A</v>
      </c>
      <c r="X275" s="14" t="e">
        <f ca="1"/>
        <v>#N/A</v>
      </c>
    </row>
    <row r="276" spans="1:26" ht="15.75" customHeight="1" x14ac:dyDescent="0.25">
      <c r="S276" s="14" t="str">
        <f ca="1">IFERROR(__xludf.DUMMYFUNCTION("""COMPUTED_VALUE"""),"")</f>
        <v/>
      </c>
      <c r="T276" s="14" t="e">
        <f ca="1"/>
        <v>#N/A</v>
      </c>
      <c r="U276" s="14" t="e">
        <f ca="1"/>
        <v>#N/A</v>
      </c>
      <c r="V276" s="14" t="e">
        <f ca="1"/>
        <v>#N/A</v>
      </c>
      <c r="W276" s="8" t="e">
        <f ca="1"/>
        <v>#N/A</v>
      </c>
      <c r="X276" s="14" t="e">
        <f ca="1"/>
        <v>#N/A</v>
      </c>
    </row>
    <row r="277" spans="1:26" ht="15.75" customHeight="1" x14ac:dyDescent="0.25">
      <c r="S277" s="14" t="str">
        <f ca="1">IFERROR(__xludf.DUMMYFUNCTION("""COMPUTED_VALUE"""),"")</f>
        <v/>
      </c>
      <c r="T277" s="14" t="e">
        <f ca="1"/>
        <v>#N/A</v>
      </c>
      <c r="U277" s="14" t="e">
        <f ca="1"/>
        <v>#N/A</v>
      </c>
      <c r="V277" s="14" t="e">
        <f ca="1"/>
        <v>#N/A</v>
      </c>
      <c r="W277" s="8" t="e">
        <f ca="1"/>
        <v>#N/A</v>
      </c>
      <c r="X277" s="14" t="e">
        <f ca="1"/>
        <v>#N/A</v>
      </c>
    </row>
    <row r="278" spans="1:26" ht="15.75" customHeight="1" x14ac:dyDescent="0.25">
      <c r="S278" s="14" t="str">
        <f ca="1">IFERROR(__xludf.DUMMYFUNCTION("""COMPUTED_VALUE"""),"")</f>
        <v/>
      </c>
      <c r="T278" s="14" t="e">
        <f ca="1"/>
        <v>#N/A</v>
      </c>
      <c r="U278" s="14" t="e">
        <f ca="1"/>
        <v>#N/A</v>
      </c>
      <c r="V278" s="14" t="e">
        <f ca="1"/>
        <v>#N/A</v>
      </c>
      <c r="W278" s="8" t="e">
        <f ca="1"/>
        <v>#N/A</v>
      </c>
      <c r="X278" s="14" t="e">
        <f ca="1"/>
        <v>#N/A</v>
      </c>
    </row>
    <row r="279" spans="1:26" ht="15.75" customHeight="1" x14ac:dyDescent="0.25">
      <c r="S279" s="14" t="str">
        <f ca="1">IFERROR(__xludf.DUMMYFUNCTION("""COMPUTED_VALUE"""),"")</f>
        <v/>
      </c>
      <c r="T279" s="14" t="e">
        <f ca="1"/>
        <v>#N/A</v>
      </c>
      <c r="U279" s="14" t="e">
        <f ca="1"/>
        <v>#N/A</v>
      </c>
      <c r="V279" s="14" t="e">
        <f ca="1"/>
        <v>#N/A</v>
      </c>
      <c r="W279" s="8" t="e">
        <f ca="1"/>
        <v>#N/A</v>
      </c>
      <c r="X279" s="14" t="e">
        <f ca="1"/>
        <v>#N/A</v>
      </c>
    </row>
    <row r="280" spans="1:26" ht="15.75" customHeight="1" x14ac:dyDescent="0.25">
      <c r="S280" s="14" t="str">
        <f ca="1">IFERROR(__xludf.DUMMYFUNCTION("""COMPUTED_VALUE"""),"")</f>
        <v/>
      </c>
      <c r="T280" s="14" t="e">
        <f ca="1"/>
        <v>#N/A</v>
      </c>
      <c r="U280" s="14" t="e">
        <f ca="1"/>
        <v>#N/A</v>
      </c>
      <c r="V280" s="14" t="e">
        <f ca="1"/>
        <v>#N/A</v>
      </c>
      <c r="W280" s="8" t="e">
        <f ca="1"/>
        <v>#N/A</v>
      </c>
      <c r="X280" s="14" t="e">
        <f ca="1"/>
        <v>#N/A</v>
      </c>
    </row>
    <row r="281" spans="1:26" ht="15.75" customHeight="1" x14ac:dyDescent="0.25">
      <c r="S281" s="14" t="str">
        <f ca="1">IFERROR(__xludf.DUMMYFUNCTION("""COMPUTED_VALUE"""),"")</f>
        <v/>
      </c>
      <c r="T281" s="14" t="e">
        <f ca="1"/>
        <v>#N/A</v>
      </c>
      <c r="U281" s="14" t="e">
        <f ca="1"/>
        <v>#N/A</v>
      </c>
      <c r="V281" s="14" t="e">
        <f ca="1"/>
        <v>#N/A</v>
      </c>
      <c r="W281" s="8" t="e">
        <f ca="1"/>
        <v>#N/A</v>
      </c>
      <c r="X281" s="14" t="e">
        <f ca="1"/>
        <v>#N/A</v>
      </c>
    </row>
    <row r="282" spans="1:26" ht="15.75" customHeight="1" x14ac:dyDescent="0.25">
      <c r="S282" s="14" t="str">
        <f ca="1">IFERROR(__xludf.DUMMYFUNCTION("""COMPUTED_VALUE"""),"")</f>
        <v/>
      </c>
      <c r="T282" s="14" t="e">
        <f ca="1"/>
        <v>#N/A</v>
      </c>
      <c r="U282" s="14" t="e">
        <f ca="1"/>
        <v>#N/A</v>
      </c>
      <c r="V282" s="14" t="e">
        <f ca="1"/>
        <v>#N/A</v>
      </c>
      <c r="W282" s="8" t="e">
        <f ca="1"/>
        <v>#N/A</v>
      </c>
      <c r="X282" s="14" t="e">
        <f ca="1"/>
        <v>#N/A</v>
      </c>
    </row>
    <row r="283" spans="1:26" ht="15.75" customHeight="1" x14ac:dyDescent="0.25">
      <c r="S283" s="14" t="str">
        <f ca="1">IFERROR(__xludf.DUMMYFUNCTION("""COMPUTED_VALUE"""),"")</f>
        <v/>
      </c>
      <c r="T283" s="14" t="e">
        <f ca="1"/>
        <v>#N/A</v>
      </c>
      <c r="U283" s="14" t="e">
        <f ca="1"/>
        <v>#N/A</v>
      </c>
      <c r="V283" s="14" t="e">
        <f ca="1"/>
        <v>#N/A</v>
      </c>
      <c r="W283" s="8" t="e">
        <f ca="1"/>
        <v>#N/A</v>
      </c>
      <c r="X283" s="14" t="e">
        <f ca="1"/>
        <v>#N/A</v>
      </c>
    </row>
    <row r="284" spans="1:26" ht="15.75" customHeight="1" x14ac:dyDescent="0.25">
      <c r="S284" s="14" t="str">
        <f ca="1">IFERROR(__xludf.DUMMYFUNCTION("""COMPUTED_VALUE"""),"")</f>
        <v/>
      </c>
      <c r="T284" s="14" t="e">
        <f ca="1"/>
        <v>#N/A</v>
      </c>
      <c r="U284" s="14" t="e">
        <f ca="1"/>
        <v>#N/A</v>
      </c>
      <c r="V284" s="14" t="e">
        <f ca="1"/>
        <v>#N/A</v>
      </c>
      <c r="W284" s="8" t="e">
        <f ca="1"/>
        <v>#N/A</v>
      </c>
      <c r="X284" s="14" t="e">
        <f ca="1"/>
        <v>#N/A</v>
      </c>
    </row>
    <row r="285" spans="1:26" ht="15.75" customHeight="1" x14ac:dyDescent="0.25">
      <c r="S285" s="14" t="str">
        <f ca="1">IFERROR(__xludf.DUMMYFUNCTION("""COMPUTED_VALUE"""),"")</f>
        <v/>
      </c>
      <c r="T285" s="14" t="e">
        <f ca="1"/>
        <v>#N/A</v>
      </c>
      <c r="U285" s="14" t="e">
        <f ca="1"/>
        <v>#N/A</v>
      </c>
      <c r="V285" s="14" t="e">
        <f ca="1"/>
        <v>#N/A</v>
      </c>
      <c r="W285" s="8" t="e">
        <f ca="1"/>
        <v>#N/A</v>
      </c>
      <c r="X285" s="14" t="e">
        <f ca="1"/>
        <v>#N/A</v>
      </c>
    </row>
    <row r="286" spans="1:26" ht="15.75" customHeight="1" x14ac:dyDescent="0.25">
      <c r="S286" s="14" t="str">
        <f ca="1">IFERROR(__xludf.DUMMYFUNCTION("""COMPUTED_VALUE"""),"")</f>
        <v/>
      </c>
      <c r="T286" s="14" t="e">
        <f ca="1"/>
        <v>#N/A</v>
      </c>
      <c r="U286" s="14" t="e">
        <f ca="1"/>
        <v>#N/A</v>
      </c>
      <c r="V286" s="14" t="e">
        <f ca="1"/>
        <v>#N/A</v>
      </c>
      <c r="W286" s="8" t="e">
        <f ca="1"/>
        <v>#N/A</v>
      </c>
      <c r="X286" s="14" t="e">
        <f ca="1"/>
        <v>#N/A</v>
      </c>
    </row>
    <row r="287" spans="1:26" ht="15.75" customHeight="1" x14ac:dyDescent="0.25">
      <c r="S287" s="14" t="str">
        <f ca="1">IFERROR(__xludf.DUMMYFUNCTION("""COMPUTED_VALUE"""),"")</f>
        <v/>
      </c>
      <c r="T287" s="14" t="e">
        <f ca="1"/>
        <v>#N/A</v>
      </c>
      <c r="U287" s="14" t="e">
        <f ca="1"/>
        <v>#N/A</v>
      </c>
      <c r="V287" s="14" t="e">
        <f ca="1"/>
        <v>#N/A</v>
      </c>
      <c r="W287" s="8" t="e">
        <f ca="1"/>
        <v>#N/A</v>
      </c>
      <c r="X287" s="14" t="e">
        <f ca="1"/>
        <v>#N/A</v>
      </c>
    </row>
    <row r="288" spans="1:26" ht="15.75" customHeight="1" x14ac:dyDescent="0.25">
      <c r="S288" s="14" t="str">
        <f ca="1">IFERROR(__xludf.DUMMYFUNCTION("""COMPUTED_VALUE"""),"")</f>
        <v/>
      </c>
      <c r="T288" s="14" t="e">
        <f ca="1"/>
        <v>#N/A</v>
      </c>
      <c r="U288" s="14" t="e">
        <f ca="1"/>
        <v>#N/A</v>
      </c>
      <c r="V288" s="14" t="e">
        <f ca="1"/>
        <v>#N/A</v>
      </c>
      <c r="W288" s="8" t="e">
        <f ca="1"/>
        <v>#N/A</v>
      </c>
      <c r="X288" s="14" t="e">
        <f ca="1"/>
        <v>#N/A</v>
      </c>
    </row>
    <row r="289" spans="19:24" ht="15.75" customHeight="1" x14ac:dyDescent="0.25">
      <c r="S289" s="14" t="str">
        <f ca="1">IFERROR(__xludf.DUMMYFUNCTION("""COMPUTED_VALUE"""),"")</f>
        <v/>
      </c>
      <c r="T289" s="14" t="e">
        <f ca="1"/>
        <v>#N/A</v>
      </c>
      <c r="U289" s="14" t="e">
        <f ca="1"/>
        <v>#N/A</v>
      </c>
      <c r="V289" s="14" t="e">
        <f ca="1"/>
        <v>#N/A</v>
      </c>
      <c r="W289" s="8" t="e">
        <f ca="1"/>
        <v>#N/A</v>
      </c>
      <c r="X289" s="14" t="e">
        <f ca="1"/>
        <v>#N/A</v>
      </c>
    </row>
    <row r="290" spans="19:24" ht="15.75" customHeight="1" x14ac:dyDescent="0.25">
      <c r="S290" s="14" t="str">
        <f ca="1">IFERROR(__xludf.DUMMYFUNCTION("""COMPUTED_VALUE"""),"")</f>
        <v/>
      </c>
      <c r="T290" s="14" t="e">
        <f ca="1"/>
        <v>#N/A</v>
      </c>
      <c r="U290" s="14" t="e">
        <f ca="1"/>
        <v>#N/A</v>
      </c>
      <c r="V290" s="14" t="e">
        <f ca="1"/>
        <v>#N/A</v>
      </c>
      <c r="W290" s="8" t="e">
        <f ca="1"/>
        <v>#N/A</v>
      </c>
      <c r="X290" s="14" t="e">
        <f ca="1"/>
        <v>#N/A</v>
      </c>
    </row>
    <row r="291" spans="19:24" ht="15.75" customHeight="1" x14ac:dyDescent="0.25">
      <c r="S291" s="14" t="str">
        <f ca="1">IFERROR(__xludf.DUMMYFUNCTION("""COMPUTED_VALUE"""),"")</f>
        <v/>
      </c>
      <c r="T291" s="14" t="e">
        <f ca="1"/>
        <v>#N/A</v>
      </c>
      <c r="U291" s="14" t="e">
        <f ca="1"/>
        <v>#N/A</v>
      </c>
      <c r="V291" s="14" t="e">
        <f ca="1"/>
        <v>#N/A</v>
      </c>
      <c r="W291" s="8" t="e">
        <f ca="1"/>
        <v>#N/A</v>
      </c>
      <c r="X291" s="14" t="e">
        <f ca="1"/>
        <v>#N/A</v>
      </c>
    </row>
    <row r="292" spans="19:24" ht="15.75" customHeight="1" x14ac:dyDescent="0.25">
      <c r="S292" s="14" t="str">
        <f ca="1">IFERROR(__xludf.DUMMYFUNCTION("""COMPUTED_VALUE"""),"")</f>
        <v/>
      </c>
      <c r="T292" s="14" t="e">
        <f ca="1"/>
        <v>#N/A</v>
      </c>
      <c r="U292" s="14" t="e">
        <f ca="1"/>
        <v>#N/A</v>
      </c>
      <c r="V292" s="14" t="e">
        <f ca="1"/>
        <v>#N/A</v>
      </c>
      <c r="W292" s="8" t="e">
        <f ca="1"/>
        <v>#N/A</v>
      </c>
      <c r="X292" s="14" t="e">
        <f ca="1"/>
        <v>#N/A</v>
      </c>
    </row>
    <row r="293" spans="19:24" ht="15.75" customHeight="1" x14ac:dyDescent="0.25">
      <c r="S293" s="14" t="str">
        <f ca="1">IFERROR(__xludf.DUMMYFUNCTION("""COMPUTED_VALUE"""),"")</f>
        <v/>
      </c>
      <c r="T293" s="14" t="e">
        <f ca="1"/>
        <v>#N/A</v>
      </c>
      <c r="U293" s="14" t="e">
        <f ca="1"/>
        <v>#N/A</v>
      </c>
      <c r="V293" s="14" t="e">
        <f ca="1"/>
        <v>#N/A</v>
      </c>
      <c r="W293" s="8" t="e">
        <f ca="1"/>
        <v>#N/A</v>
      </c>
      <c r="X293" s="14" t="e">
        <f ca="1"/>
        <v>#N/A</v>
      </c>
    </row>
    <row r="294" spans="19:24" ht="15.75" customHeight="1" x14ac:dyDescent="0.25">
      <c r="S294" s="14" t="str">
        <f ca="1">IFERROR(__xludf.DUMMYFUNCTION("""COMPUTED_VALUE"""),"")</f>
        <v/>
      </c>
      <c r="T294" s="14" t="e">
        <f ca="1"/>
        <v>#N/A</v>
      </c>
      <c r="U294" s="14" t="e">
        <f ca="1"/>
        <v>#N/A</v>
      </c>
      <c r="V294" s="14" t="e">
        <f ca="1"/>
        <v>#N/A</v>
      </c>
      <c r="W294" s="8" t="e">
        <f ca="1"/>
        <v>#N/A</v>
      </c>
      <c r="X294" s="14" t="e">
        <f ca="1"/>
        <v>#N/A</v>
      </c>
    </row>
    <row r="295" spans="19:24" ht="15.75" customHeight="1" x14ac:dyDescent="0.25">
      <c r="S295" s="14" t="str">
        <f ca="1">IFERROR(__xludf.DUMMYFUNCTION("""COMPUTED_VALUE"""),"")</f>
        <v/>
      </c>
      <c r="T295" s="14" t="e">
        <f ca="1"/>
        <v>#N/A</v>
      </c>
      <c r="U295" s="14" t="e">
        <f ca="1"/>
        <v>#N/A</v>
      </c>
      <c r="V295" s="14" t="e">
        <f ca="1"/>
        <v>#N/A</v>
      </c>
      <c r="W295" s="8" t="e">
        <f ca="1"/>
        <v>#N/A</v>
      </c>
      <c r="X295" s="14" t="e">
        <f ca="1"/>
        <v>#N/A</v>
      </c>
    </row>
    <row r="296" spans="19:24" ht="15.75" customHeight="1" x14ac:dyDescent="0.25">
      <c r="S296" s="14" t="str">
        <f ca="1">IFERROR(__xludf.DUMMYFUNCTION("""COMPUTED_VALUE"""),"")</f>
        <v/>
      </c>
      <c r="T296" s="14" t="e">
        <f ca="1"/>
        <v>#N/A</v>
      </c>
      <c r="U296" s="14" t="e">
        <f ca="1"/>
        <v>#N/A</v>
      </c>
      <c r="V296" s="14" t="e">
        <f ca="1"/>
        <v>#N/A</v>
      </c>
      <c r="W296" s="8" t="e">
        <f ca="1"/>
        <v>#N/A</v>
      </c>
      <c r="X296" s="14" t="e">
        <f ca="1"/>
        <v>#N/A</v>
      </c>
    </row>
    <row r="297" spans="19:24" ht="15.75" customHeight="1" x14ac:dyDescent="0.25">
      <c r="S297" s="14" t="str">
        <f ca="1">IFERROR(__xludf.DUMMYFUNCTION("""COMPUTED_VALUE"""),"")</f>
        <v/>
      </c>
      <c r="T297" s="14" t="e">
        <f ca="1"/>
        <v>#N/A</v>
      </c>
      <c r="U297" s="14" t="e">
        <f ca="1"/>
        <v>#N/A</v>
      </c>
      <c r="V297" s="14" t="e">
        <f ca="1"/>
        <v>#N/A</v>
      </c>
      <c r="W297" s="8" t="e">
        <f ca="1"/>
        <v>#N/A</v>
      </c>
      <c r="X297" s="14" t="e">
        <f ca="1"/>
        <v>#N/A</v>
      </c>
    </row>
    <row r="298" spans="19:24" ht="15.75" customHeight="1" x14ac:dyDescent="0.25">
      <c r="S298" s="14" t="str">
        <f ca="1">IFERROR(__xludf.DUMMYFUNCTION("""COMPUTED_VALUE"""),"")</f>
        <v/>
      </c>
      <c r="T298" s="14" t="e">
        <f ca="1"/>
        <v>#N/A</v>
      </c>
      <c r="U298" s="14" t="e">
        <f ca="1"/>
        <v>#N/A</v>
      </c>
      <c r="V298" s="14" t="e">
        <f ca="1"/>
        <v>#N/A</v>
      </c>
      <c r="W298" s="8" t="e">
        <f ca="1"/>
        <v>#N/A</v>
      </c>
      <c r="X298" s="14" t="e">
        <f ca="1"/>
        <v>#N/A</v>
      </c>
    </row>
    <row r="299" spans="19:24" ht="15.75" customHeight="1" x14ac:dyDescent="0.25">
      <c r="S299" s="14" t="str">
        <f ca="1">IFERROR(__xludf.DUMMYFUNCTION("""COMPUTED_VALUE"""),"")</f>
        <v/>
      </c>
      <c r="T299" s="14" t="e">
        <f ca="1"/>
        <v>#N/A</v>
      </c>
      <c r="U299" s="14" t="e">
        <f ca="1"/>
        <v>#N/A</v>
      </c>
      <c r="V299" s="14" t="e">
        <f ca="1"/>
        <v>#N/A</v>
      </c>
      <c r="W299" s="8" t="e">
        <f ca="1"/>
        <v>#N/A</v>
      </c>
      <c r="X299" s="14" t="e">
        <f ca="1"/>
        <v>#N/A</v>
      </c>
    </row>
    <row r="300" spans="19:24" ht="15.75" customHeight="1" x14ac:dyDescent="0.25">
      <c r="S300" s="14" t="str">
        <f ca="1">IFERROR(__xludf.DUMMYFUNCTION("""COMPUTED_VALUE"""),"")</f>
        <v/>
      </c>
      <c r="T300" s="14" t="e">
        <f ca="1"/>
        <v>#N/A</v>
      </c>
      <c r="U300" s="14" t="e">
        <f ca="1"/>
        <v>#N/A</v>
      </c>
      <c r="V300" s="14" t="e">
        <f ca="1"/>
        <v>#N/A</v>
      </c>
      <c r="W300" s="8" t="e">
        <f ca="1"/>
        <v>#N/A</v>
      </c>
      <c r="X300" s="14" t="e">
        <f ca="1"/>
        <v>#N/A</v>
      </c>
    </row>
    <row r="301" spans="19:24" ht="15.75" customHeight="1" x14ac:dyDescent="0.25">
      <c r="S301" s="14" t="str">
        <f ca="1">IFERROR(__xludf.DUMMYFUNCTION("""COMPUTED_VALUE"""),"")</f>
        <v/>
      </c>
      <c r="T301" s="14" t="e">
        <f ca="1"/>
        <v>#N/A</v>
      </c>
      <c r="U301" s="14" t="e">
        <f ca="1"/>
        <v>#N/A</v>
      </c>
      <c r="V301" s="14" t="e">
        <f ca="1"/>
        <v>#N/A</v>
      </c>
      <c r="W301" s="8" t="e">
        <f ca="1"/>
        <v>#N/A</v>
      </c>
      <c r="X301" s="14" t="e">
        <f ca="1"/>
        <v>#N/A</v>
      </c>
    </row>
    <row r="302" spans="19:24" ht="15.75" customHeight="1" x14ac:dyDescent="0.25">
      <c r="S302" s="14" t="str">
        <f ca="1">IFERROR(__xludf.DUMMYFUNCTION("""COMPUTED_VALUE"""),"")</f>
        <v/>
      </c>
      <c r="T302" s="14" t="e">
        <f ca="1"/>
        <v>#N/A</v>
      </c>
      <c r="U302" s="14" t="e">
        <f ca="1"/>
        <v>#N/A</v>
      </c>
      <c r="V302" s="14" t="e">
        <f ca="1"/>
        <v>#N/A</v>
      </c>
      <c r="W302" s="8" t="e">
        <f ca="1"/>
        <v>#N/A</v>
      </c>
      <c r="X302" s="14" t="e">
        <f ca="1"/>
        <v>#N/A</v>
      </c>
    </row>
    <row r="303" spans="19:24" ht="15.75" customHeight="1" x14ac:dyDescent="0.25">
      <c r="S303" s="14" t="str">
        <f ca="1">IFERROR(__xludf.DUMMYFUNCTION("""COMPUTED_VALUE"""),"")</f>
        <v/>
      </c>
      <c r="T303" s="14" t="e">
        <f ca="1"/>
        <v>#N/A</v>
      </c>
      <c r="U303" s="14" t="e">
        <f ca="1"/>
        <v>#N/A</v>
      </c>
      <c r="V303" s="14" t="e">
        <f ca="1"/>
        <v>#N/A</v>
      </c>
      <c r="W303" s="8" t="e">
        <f ca="1"/>
        <v>#N/A</v>
      </c>
      <c r="X303" s="14" t="e">
        <f ca="1"/>
        <v>#N/A</v>
      </c>
    </row>
    <row r="304" spans="19:24" ht="15.75" customHeight="1" x14ac:dyDescent="0.25">
      <c r="S304" s="14" t="str">
        <f ca="1">IFERROR(__xludf.DUMMYFUNCTION("""COMPUTED_VALUE"""),"")</f>
        <v/>
      </c>
      <c r="T304" s="14" t="e">
        <f ca="1"/>
        <v>#N/A</v>
      </c>
      <c r="U304" s="14" t="e">
        <f ca="1"/>
        <v>#N/A</v>
      </c>
      <c r="V304" s="14" t="e">
        <f ca="1"/>
        <v>#N/A</v>
      </c>
      <c r="W304" s="8" t="e">
        <f ca="1"/>
        <v>#N/A</v>
      </c>
      <c r="X304" s="14" t="e">
        <f ca="1"/>
        <v>#N/A</v>
      </c>
    </row>
    <row r="305" spans="19:24" ht="15.75" customHeight="1" x14ac:dyDescent="0.25">
      <c r="S305" s="14" t="str">
        <f ca="1">IFERROR(__xludf.DUMMYFUNCTION("""COMPUTED_VALUE"""),"")</f>
        <v/>
      </c>
      <c r="T305" s="14" t="e">
        <f ca="1"/>
        <v>#N/A</v>
      </c>
      <c r="U305" s="14" t="e">
        <f ca="1"/>
        <v>#N/A</v>
      </c>
      <c r="V305" s="14" t="e">
        <f ca="1"/>
        <v>#N/A</v>
      </c>
      <c r="W305" s="8" t="e">
        <f ca="1"/>
        <v>#N/A</v>
      </c>
      <c r="X305" s="14" t="e">
        <f ca="1"/>
        <v>#N/A</v>
      </c>
    </row>
    <row r="306" spans="19:24" ht="15.75" customHeight="1" x14ac:dyDescent="0.25">
      <c r="S306" s="14" t="str">
        <f ca="1">IFERROR(__xludf.DUMMYFUNCTION("""COMPUTED_VALUE"""),"")</f>
        <v/>
      </c>
      <c r="T306" s="14" t="e">
        <f ca="1"/>
        <v>#N/A</v>
      </c>
      <c r="U306" s="14" t="e">
        <f ca="1"/>
        <v>#N/A</v>
      </c>
      <c r="V306" s="14" t="e">
        <f ca="1"/>
        <v>#N/A</v>
      </c>
      <c r="W306" s="8" t="e">
        <f ca="1"/>
        <v>#N/A</v>
      </c>
      <c r="X306" s="14" t="e">
        <f ca="1"/>
        <v>#N/A</v>
      </c>
    </row>
    <row r="307" spans="19:24" ht="15.75" customHeight="1" x14ac:dyDescent="0.25">
      <c r="S307" s="14" t="str">
        <f ca="1">IFERROR(__xludf.DUMMYFUNCTION("""COMPUTED_VALUE"""),"")</f>
        <v/>
      </c>
      <c r="T307" s="14" t="e">
        <f ca="1"/>
        <v>#N/A</v>
      </c>
      <c r="U307" s="14" t="e">
        <f ca="1"/>
        <v>#N/A</v>
      </c>
      <c r="V307" s="14" t="e">
        <f ca="1"/>
        <v>#N/A</v>
      </c>
      <c r="W307" s="8" t="e">
        <f ca="1"/>
        <v>#N/A</v>
      </c>
      <c r="X307" s="14" t="e">
        <f ca="1"/>
        <v>#N/A</v>
      </c>
    </row>
    <row r="308" spans="19:24" ht="15.75" customHeight="1" x14ac:dyDescent="0.25">
      <c r="S308" s="14" t="str">
        <f ca="1">IFERROR(__xludf.DUMMYFUNCTION("""COMPUTED_VALUE"""),"")</f>
        <v/>
      </c>
      <c r="T308" s="14" t="e">
        <f ca="1"/>
        <v>#N/A</v>
      </c>
      <c r="U308" s="14" t="e">
        <f ca="1"/>
        <v>#N/A</v>
      </c>
      <c r="V308" s="14" t="e">
        <f ca="1"/>
        <v>#N/A</v>
      </c>
      <c r="W308" s="8" t="e">
        <f ca="1"/>
        <v>#N/A</v>
      </c>
      <c r="X308" s="14" t="e">
        <f ca="1"/>
        <v>#N/A</v>
      </c>
    </row>
    <row r="309" spans="19:24" ht="15.75" customHeight="1" x14ac:dyDescent="0.25">
      <c r="S309" s="14" t="str">
        <f ca="1">IFERROR(__xludf.DUMMYFUNCTION("""COMPUTED_VALUE"""),"")</f>
        <v/>
      </c>
      <c r="T309" s="14" t="e">
        <f ca="1"/>
        <v>#N/A</v>
      </c>
      <c r="U309" s="14" t="e">
        <f ca="1"/>
        <v>#N/A</v>
      </c>
      <c r="V309" s="14" t="e">
        <f ca="1"/>
        <v>#N/A</v>
      </c>
      <c r="W309" s="8" t="e">
        <f ca="1"/>
        <v>#N/A</v>
      </c>
      <c r="X309" s="14" t="e">
        <f ca="1"/>
        <v>#N/A</v>
      </c>
    </row>
    <row r="310" spans="19:24" ht="15.75" customHeight="1" x14ac:dyDescent="0.25">
      <c r="S310" s="14" t="str">
        <f ca="1">IFERROR(__xludf.DUMMYFUNCTION("""COMPUTED_VALUE"""),"")</f>
        <v/>
      </c>
      <c r="T310" s="14" t="e">
        <f ca="1"/>
        <v>#N/A</v>
      </c>
      <c r="U310" s="14" t="e">
        <f ca="1"/>
        <v>#N/A</v>
      </c>
      <c r="V310" s="14" t="e">
        <f ca="1"/>
        <v>#N/A</v>
      </c>
      <c r="W310" s="8" t="e">
        <f ca="1"/>
        <v>#N/A</v>
      </c>
      <c r="X310" s="14" t="e">
        <f ca="1"/>
        <v>#N/A</v>
      </c>
    </row>
    <row r="311" spans="19:24" ht="15.75" customHeight="1" x14ac:dyDescent="0.25">
      <c r="S311" s="14" t="str">
        <f ca="1">IFERROR(__xludf.DUMMYFUNCTION("""COMPUTED_VALUE"""),"")</f>
        <v/>
      </c>
      <c r="T311" s="14" t="e">
        <f ca="1"/>
        <v>#N/A</v>
      </c>
      <c r="U311" s="14" t="e">
        <f ca="1"/>
        <v>#N/A</v>
      </c>
      <c r="V311" s="14" t="e">
        <f ca="1"/>
        <v>#N/A</v>
      </c>
      <c r="W311" s="8" t="e">
        <f ca="1"/>
        <v>#N/A</v>
      </c>
      <c r="X311" s="14" t="e">
        <f ca="1"/>
        <v>#N/A</v>
      </c>
    </row>
    <row r="312" spans="19:24" ht="15.75" customHeight="1" x14ac:dyDescent="0.25">
      <c r="S312" s="14" t="str">
        <f ca="1">IFERROR(__xludf.DUMMYFUNCTION("""COMPUTED_VALUE"""),"")</f>
        <v/>
      </c>
      <c r="T312" s="14" t="e">
        <f ca="1"/>
        <v>#N/A</v>
      </c>
      <c r="U312" s="14" t="e">
        <f ca="1"/>
        <v>#N/A</v>
      </c>
      <c r="V312" s="14" t="e">
        <f ca="1"/>
        <v>#N/A</v>
      </c>
      <c r="W312" s="8" t="e">
        <f ca="1"/>
        <v>#N/A</v>
      </c>
      <c r="X312" s="14" t="e">
        <f ca="1"/>
        <v>#N/A</v>
      </c>
    </row>
    <row r="313" spans="19:24" ht="15.75" customHeight="1" x14ac:dyDescent="0.25">
      <c r="S313" s="14" t="str">
        <f ca="1">IFERROR(__xludf.DUMMYFUNCTION("""COMPUTED_VALUE"""),"")</f>
        <v/>
      </c>
      <c r="T313" s="14" t="e">
        <f ca="1"/>
        <v>#N/A</v>
      </c>
      <c r="U313" s="14" t="e">
        <f ca="1"/>
        <v>#N/A</v>
      </c>
      <c r="V313" s="14" t="e">
        <f ca="1"/>
        <v>#N/A</v>
      </c>
      <c r="W313" s="8" t="e">
        <f ca="1"/>
        <v>#N/A</v>
      </c>
      <c r="X313" s="14" t="e">
        <f ca="1"/>
        <v>#N/A</v>
      </c>
    </row>
    <row r="314" spans="19:24" ht="15.75" customHeight="1" x14ac:dyDescent="0.25">
      <c r="S314" s="14" t="str">
        <f ca="1">IFERROR(__xludf.DUMMYFUNCTION("""COMPUTED_VALUE"""),"")</f>
        <v/>
      </c>
      <c r="T314" s="14" t="e">
        <f ca="1"/>
        <v>#N/A</v>
      </c>
      <c r="U314" s="14" t="e">
        <f ca="1"/>
        <v>#N/A</v>
      </c>
      <c r="V314" s="14" t="e">
        <f ca="1"/>
        <v>#N/A</v>
      </c>
      <c r="W314" s="8" t="e">
        <f ca="1"/>
        <v>#N/A</v>
      </c>
      <c r="X314" s="14" t="e">
        <f ca="1"/>
        <v>#N/A</v>
      </c>
    </row>
    <row r="315" spans="19:24" ht="15.75" customHeight="1" x14ac:dyDescent="0.25">
      <c r="S315" s="14" t="str">
        <f ca="1">IFERROR(__xludf.DUMMYFUNCTION("""COMPUTED_VALUE"""),"")</f>
        <v/>
      </c>
      <c r="T315" s="14" t="e">
        <f ca="1"/>
        <v>#N/A</v>
      </c>
      <c r="U315" s="14" t="e">
        <f ca="1"/>
        <v>#N/A</v>
      </c>
      <c r="V315" s="14" t="e">
        <f ca="1"/>
        <v>#N/A</v>
      </c>
      <c r="W315" s="8" t="e">
        <f ca="1"/>
        <v>#N/A</v>
      </c>
      <c r="X315" s="14" t="e">
        <f ca="1"/>
        <v>#N/A</v>
      </c>
    </row>
    <row r="316" spans="19:24" ht="15.75" customHeight="1" x14ac:dyDescent="0.25">
      <c r="S316" s="14" t="str">
        <f ca="1">IFERROR(__xludf.DUMMYFUNCTION("""COMPUTED_VALUE"""),"")</f>
        <v/>
      </c>
      <c r="T316" s="14" t="e">
        <f ca="1"/>
        <v>#N/A</v>
      </c>
      <c r="U316" s="14" t="e">
        <f ca="1"/>
        <v>#N/A</v>
      </c>
      <c r="V316" s="14" t="e">
        <f ca="1"/>
        <v>#N/A</v>
      </c>
      <c r="W316" s="8" t="e">
        <f ca="1"/>
        <v>#N/A</v>
      </c>
      <c r="X316" s="14" t="e">
        <f ca="1"/>
        <v>#N/A</v>
      </c>
    </row>
    <row r="317" spans="19:24" ht="15.75" customHeight="1" x14ac:dyDescent="0.25">
      <c r="S317" s="14" t="str">
        <f ca="1">IFERROR(__xludf.DUMMYFUNCTION("""COMPUTED_VALUE"""),"")</f>
        <v/>
      </c>
      <c r="T317" s="14" t="e">
        <f ca="1"/>
        <v>#N/A</v>
      </c>
      <c r="U317" s="14" t="e">
        <f ca="1"/>
        <v>#N/A</v>
      </c>
      <c r="V317" s="14" t="e">
        <f ca="1"/>
        <v>#N/A</v>
      </c>
      <c r="W317" s="8" t="e">
        <f ca="1"/>
        <v>#N/A</v>
      </c>
      <c r="X317" s="14" t="e">
        <f ca="1"/>
        <v>#N/A</v>
      </c>
    </row>
    <row r="318" spans="19:24" ht="15.75" customHeight="1" x14ac:dyDescent="0.25">
      <c r="S318" s="14" t="str">
        <f ca="1">IFERROR(__xludf.DUMMYFUNCTION("""COMPUTED_VALUE"""),"")</f>
        <v/>
      </c>
      <c r="T318" s="14" t="e">
        <f ca="1"/>
        <v>#N/A</v>
      </c>
      <c r="U318" s="14" t="e">
        <f ca="1"/>
        <v>#N/A</v>
      </c>
      <c r="V318" s="14" t="e">
        <f ca="1"/>
        <v>#N/A</v>
      </c>
      <c r="W318" s="8" t="e">
        <f ca="1"/>
        <v>#N/A</v>
      </c>
      <c r="X318" s="14" t="e">
        <f ca="1"/>
        <v>#N/A</v>
      </c>
    </row>
    <row r="319" spans="19:24" ht="15.75" customHeight="1" x14ac:dyDescent="0.25">
      <c r="S319" s="14" t="str">
        <f ca="1">IFERROR(__xludf.DUMMYFUNCTION("""COMPUTED_VALUE"""),"")</f>
        <v/>
      </c>
      <c r="T319" s="14" t="e">
        <f ca="1"/>
        <v>#N/A</v>
      </c>
      <c r="U319" s="14" t="e">
        <f ca="1"/>
        <v>#N/A</v>
      </c>
      <c r="V319" s="14" t="e">
        <f ca="1"/>
        <v>#N/A</v>
      </c>
      <c r="W319" s="8" t="e">
        <f ca="1"/>
        <v>#N/A</v>
      </c>
      <c r="X319" s="14" t="e">
        <f ca="1"/>
        <v>#N/A</v>
      </c>
    </row>
    <row r="320" spans="19:24" ht="15.75" customHeight="1" x14ac:dyDescent="0.25">
      <c r="S320" s="14" t="str">
        <f ca="1">IFERROR(__xludf.DUMMYFUNCTION("""COMPUTED_VALUE"""),"")</f>
        <v/>
      </c>
      <c r="T320" s="14" t="e">
        <f ca="1"/>
        <v>#N/A</v>
      </c>
      <c r="U320" s="14" t="e">
        <f ca="1"/>
        <v>#N/A</v>
      </c>
      <c r="V320" s="14" t="e">
        <f ca="1"/>
        <v>#N/A</v>
      </c>
      <c r="W320" s="8" t="e">
        <f ca="1"/>
        <v>#N/A</v>
      </c>
      <c r="X320" s="14" t="e">
        <f ca="1"/>
        <v>#N/A</v>
      </c>
    </row>
    <row r="321" spans="19:24" ht="15.75" customHeight="1" x14ac:dyDescent="0.25">
      <c r="S321" s="14" t="str">
        <f ca="1">IFERROR(__xludf.DUMMYFUNCTION("""COMPUTED_VALUE"""),"")</f>
        <v/>
      </c>
      <c r="T321" s="14" t="e">
        <f ca="1"/>
        <v>#N/A</v>
      </c>
      <c r="U321" s="14" t="e">
        <f ca="1"/>
        <v>#N/A</v>
      </c>
      <c r="V321" s="14" t="e">
        <f ca="1"/>
        <v>#N/A</v>
      </c>
      <c r="W321" s="8" t="e">
        <f ca="1"/>
        <v>#N/A</v>
      </c>
      <c r="X321" s="14" t="e">
        <f ca="1"/>
        <v>#N/A</v>
      </c>
    </row>
    <row r="322" spans="19:24" ht="15.75" customHeight="1" x14ac:dyDescent="0.25">
      <c r="S322" s="14" t="str">
        <f ca="1">IFERROR(__xludf.DUMMYFUNCTION("""COMPUTED_VALUE"""),"")</f>
        <v/>
      </c>
      <c r="T322" s="14" t="e">
        <f ca="1"/>
        <v>#N/A</v>
      </c>
      <c r="U322" s="14" t="e">
        <f ca="1"/>
        <v>#N/A</v>
      </c>
      <c r="V322" s="14" t="e">
        <f ca="1"/>
        <v>#N/A</v>
      </c>
      <c r="W322" s="8" t="e">
        <f ca="1"/>
        <v>#N/A</v>
      </c>
      <c r="X322" s="14" t="e">
        <f ca="1"/>
        <v>#N/A</v>
      </c>
    </row>
    <row r="323" spans="19:24" ht="15.75" customHeight="1" x14ac:dyDescent="0.25">
      <c r="S323" s="14" t="str">
        <f ca="1">IFERROR(__xludf.DUMMYFUNCTION("""COMPUTED_VALUE"""),"")</f>
        <v/>
      </c>
      <c r="T323" s="14" t="e">
        <f ca="1"/>
        <v>#N/A</v>
      </c>
      <c r="U323" s="14" t="e">
        <f ca="1"/>
        <v>#N/A</v>
      </c>
      <c r="V323" s="14" t="e">
        <f ca="1"/>
        <v>#N/A</v>
      </c>
      <c r="W323" s="8" t="e">
        <f ca="1"/>
        <v>#N/A</v>
      </c>
      <c r="X323" s="14" t="e">
        <f ca="1"/>
        <v>#N/A</v>
      </c>
    </row>
    <row r="324" spans="19:24" ht="15.75" customHeight="1" x14ac:dyDescent="0.25">
      <c r="S324" s="14" t="str">
        <f ca="1">IFERROR(__xludf.DUMMYFUNCTION("""COMPUTED_VALUE"""),"")</f>
        <v/>
      </c>
      <c r="T324" s="14" t="e">
        <f ca="1"/>
        <v>#N/A</v>
      </c>
      <c r="U324" s="14" t="e">
        <f ca="1"/>
        <v>#N/A</v>
      </c>
      <c r="V324" s="14" t="e">
        <f ca="1"/>
        <v>#N/A</v>
      </c>
      <c r="W324" s="8" t="e">
        <f ca="1"/>
        <v>#N/A</v>
      </c>
      <c r="X324" s="14" t="e">
        <f ca="1"/>
        <v>#N/A</v>
      </c>
    </row>
    <row r="325" spans="19:24" ht="15.75" customHeight="1" x14ac:dyDescent="0.25">
      <c r="S325" s="14" t="str">
        <f ca="1">IFERROR(__xludf.DUMMYFUNCTION("""COMPUTED_VALUE"""),"")</f>
        <v/>
      </c>
      <c r="T325" s="14" t="e">
        <f ca="1"/>
        <v>#N/A</v>
      </c>
      <c r="U325" s="14" t="e">
        <f ca="1"/>
        <v>#N/A</v>
      </c>
      <c r="V325" s="14" t="e">
        <f ca="1"/>
        <v>#N/A</v>
      </c>
      <c r="W325" s="8" t="e">
        <f ca="1"/>
        <v>#N/A</v>
      </c>
      <c r="X325" s="14" t="e">
        <f ca="1"/>
        <v>#N/A</v>
      </c>
    </row>
    <row r="326" spans="19:24" ht="15.75" customHeight="1" x14ac:dyDescent="0.25">
      <c r="S326" s="14" t="str">
        <f ca="1">IFERROR(__xludf.DUMMYFUNCTION("""COMPUTED_VALUE"""),"")</f>
        <v/>
      </c>
      <c r="T326" s="14" t="e">
        <f ca="1"/>
        <v>#N/A</v>
      </c>
      <c r="U326" s="14" t="e">
        <f ca="1"/>
        <v>#N/A</v>
      </c>
      <c r="V326" s="14" t="e">
        <f ca="1"/>
        <v>#N/A</v>
      </c>
      <c r="W326" s="8" t="e">
        <f ca="1"/>
        <v>#N/A</v>
      </c>
      <c r="X326" s="14" t="e">
        <f ca="1"/>
        <v>#N/A</v>
      </c>
    </row>
    <row r="327" spans="19:24" ht="15.75" customHeight="1" x14ac:dyDescent="0.25">
      <c r="S327" s="14" t="str">
        <f ca="1">IFERROR(__xludf.DUMMYFUNCTION("""COMPUTED_VALUE"""),"")</f>
        <v/>
      </c>
      <c r="T327" s="14" t="e">
        <f ca="1"/>
        <v>#N/A</v>
      </c>
      <c r="U327" s="14" t="e">
        <f ca="1"/>
        <v>#N/A</v>
      </c>
      <c r="V327" s="14" t="e">
        <f ca="1"/>
        <v>#N/A</v>
      </c>
      <c r="W327" s="8" t="e">
        <f ca="1"/>
        <v>#N/A</v>
      </c>
      <c r="X327" s="14" t="e">
        <f ca="1"/>
        <v>#N/A</v>
      </c>
    </row>
    <row r="328" spans="19:24" ht="15.75" customHeight="1" x14ac:dyDescent="0.25">
      <c r="S328" s="14" t="str">
        <f ca="1">IFERROR(__xludf.DUMMYFUNCTION("""COMPUTED_VALUE"""),"")</f>
        <v/>
      </c>
      <c r="T328" s="14" t="e">
        <f ca="1"/>
        <v>#N/A</v>
      </c>
      <c r="U328" s="14" t="e">
        <f ca="1"/>
        <v>#N/A</v>
      </c>
      <c r="V328" s="14" t="e">
        <f ca="1"/>
        <v>#N/A</v>
      </c>
      <c r="W328" s="8" t="e">
        <f ca="1"/>
        <v>#N/A</v>
      </c>
      <c r="X328" s="14" t="e">
        <f ca="1"/>
        <v>#N/A</v>
      </c>
    </row>
    <row r="329" spans="19:24" ht="15.75" customHeight="1" x14ac:dyDescent="0.25">
      <c r="S329" s="14" t="str">
        <f ca="1">IFERROR(__xludf.DUMMYFUNCTION("""COMPUTED_VALUE"""),"")</f>
        <v/>
      </c>
      <c r="T329" s="14" t="e">
        <f ca="1"/>
        <v>#N/A</v>
      </c>
      <c r="U329" s="14" t="e">
        <f ca="1"/>
        <v>#N/A</v>
      </c>
      <c r="V329" s="14" t="e">
        <f ca="1"/>
        <v>#N/A</v>
      </c>
      <c r="W329" s="8" t="e">
        <f ca="1"/>
        <v>#N/A</v>
      </c>
      <c r="X329" s="14" t="e">
        <f ca="1"/>
        <v>#N/A</v>
      </c>
    </row>
    <row r="330" spans="19:24" ht="15.75" customHeight="1" x14ac:dyDescent="0.25">
      <c r="S330" s="14" t="str">
        <f ca="1">IFERROR(__xludf.DUMMYFUNCTION("""COMPUTED_VALUE"""),"")</f>
        <v/>
      </c>
      <c r="T330" s="14" t="e">
        <f ca="1"/>
        <v>#N/A</v>
      </c>
      <c r="U330" s="14" t="e">
        <f ca="1"/>
        <v>#N/A</v>
      </c>
      <c r="V330" s="14" t="e">
        <f ca="1"/>
        <v>#N/A</v>
      </c>
      <c r="W330" s="8" t="e">
        <f ca="1"/>
        <v>#N/A</v>
      </c>
      <c r="X330" s="14" t="e">
        <f ca="1"/>
        <v>#N/A</v>
      </c>
    </row>
    <row r="331" spans="19:24" ht="15.75" customHeight="1" x14ac:dyDescent="0.25">
      <c r="S331" s="14" t="str">
        <f ca="1">IFERROR(__xludf.DUMMYFUNCTION("""COMPUTED_VALUE"""),"")</f>
        <v/>
      </c>
      <c r="T331" s="14" t="e">
        <f ca="1"/>
        <v>#N/A</v>
      </c>
      <c r="U331" s="14" t="e">
        <f ca="1"/>
        <v>#N/A</v>
      </c>
      <c r="V331" s="14" t="e">
        <f ca="1"/>
        <v>#N/A</v>
      </c>
      <c r="W331" s="8" t="e">
        <f ca="1"/>
        <v>#N/A</v>
      </c>
      <c r="X331" s="14" t="e">
        <f ca="1"/>
        <v>#N/A</v>
      </c>
    </row>
    <row r="332" spans="19:24" ht="15.75" customHeight="1" x14ac:dyDescent="0.25">
      <c r="S332" s="14" t="str">
        <f ca="1">IFERROR(__xludf.DUMMYFUNCTION("""COMPUTED_VALUE"""),"")</f>
        <v/>
      </c>
      <c r="T332" s="14" t="e">
        <f ca="1"/>
        <v>#N/A</v>
      </c>
      <c r="U332" s="14" t="e">
        <f ca="1"/>
        <v>#N/A</v>
      </c>
      <c r="V332" s="14" t="e">
        <f ca="1"/>
        <v>#N/A</v>
      </c>
      <c r="W332" s="8" t="e">
        <f ca="1"/>
        <v>#N/A</v>
      </c>
      <c r="X332" s="14" t="e">
        <f ca="1"/>
        <v>#N/A</v>
      </c>
    </row>
    <row r="333" spans="19:24" ht="15.75" customHeight="1" x14ac:dyDescent="0.25">
      <c r="S333" s="14" t="str">
        <f ca="1">IFERROR(__xludf.DUMMYFUNCTION("""COMPUTED_VALUE"""),"")</f>
        <v/>
      </c>
      <c r="T333" s="14" t="e">
        <f ca="1"/>
        <v>#N/A</v>
      </c>
      <c r="U333" s="14" t="e">
        <f ca="1"/>
        <v>#N/A</v>
      </c>
      <c r="V333" s="14" t="e">
        <f ca="1"/>
        <v>#N/A</v>
      </c>
      <c r="W333" s="8" t="e">
        <f ca="1"/>
        <v>#N/A</v>
      </c>
      <c r="X333" s="14" t="e">
        <f ca="1"/>
        <v>#N/A</v>
      </c>
    </row>
    <row r="334" spans="19:24" ht="15.75" customHeight="1" x14ac:dyDescent="0.25">
      <c r="S334" s="14" t="str">
        <f ca="1">IFERROR(__xludf.DUMMYFUNCTION("""COMPUTED_VALUE"""),"")</f>
        <v/>
      </c>
      <c r="T334" s="14" t="e">
        <f ca="1"/>
        <v>#N/A</v>
      </c>
      <c r="U334" s="14" t="e">
        <f ca="1"/>
        <v>#N/A</v>
      </c>
      <c r="V334" s="14" t="e">
        <f ca="1"/>
        <v>#N/A</v>
      </c>
      <c r="W334" s="8" t="e">
        <f ca="1"/>
        <v>#N/A</v>
      </c>
      <c r="X334" s="14" t="e">
        <f ca="1"/>
        <v>#N/A</v>
      </c>
    </row>
    <row r="335" spans="19:24" ht="15.75" customHeight="1" x14ac:dyDescent="0.25">
      <c r="S335" s="14" t="str">
        <f ca="1">IFERROR(__xludf.DUMMYFUNCTION("""COMPUTED_VALUE"""),"")</f>
        <v/>
      </c>
      <c r="T335" s="14" t="e">
        <f ca="1"/>
        <v>#N/A</v>
      </c>
      <c r="U335" s="14" t="e">
        <f ca="1"/>
        <v>#N/A</v>
      </c>
      <c r="V335" s="14" t="e">
        <f ca="1"/>
        <v>#N/A</v>
      </c>
      <c r="W335" s="8" t="e">
        <f ca="1"/>
        <v>#N/A</v>
      </c>
      <c r="X335" s="14" t="e">
        <f ca="1"/>
        <v>#N/A</v>
      </c>
    </row>
    <row r="336" spans="19:24" ht="15.75" customHeight="1" x14ac:dyDescent="0.25">
      <c r="S336" s="14" t="str">
        <f ca="1">IFERROR(__xludf.DUMMYFUNCTION("""COMPUTED_VALUE"""),"")</f>
        <v/>
      </c>
      <c r="T336" s="14" t="e">
        <f ca="1"/>
        <v>#N/A</v>
      </c>
      <c r="U336" s="14" t="e">
        <f ca="1"/>
        <v>#N/A</v>
      </c>
      <c r="V336" s="14" t="e">
        <f ca="1"/>
        <v>#N/A</v>
      </c>
      <c r="W336" s="8" t="e">
        <f ca="1"/>
        <v>#N/A</v>
      </c>
      <c r="X336" s="14" t="e">
        <f ca="1"/>
        <v>#N/A</v>
      </c>
    </row>
    <row r="337" spans="19:24" ht="15.75" customHeight="1" x14ac:dyDescent="0.25">
      <c r="S337" s="14" t="str">
        <f ca="1">IFERROR(__xludf.DUMMYFUNCTION("""COMPUTED_VALUE"""),"")</f>
        <v/>
      </c>
      <c r="T337" s="14" t="e">
        <f ca="1"/>
        <v>#N/A</v>
      </c>
      <c r="U337" s="14" t="e">
        <f ca="1"/>
        <v>#N/A</v>
      </c>
      <c r="V337" s="14" t="e">
        <f ca="1"/>
        <v>#N/A</v>
      </c>
      <c r="W337" s="8" t="e">
        <f ca="1"/>
        <v>#N/A</v>
      </c>
      <c r="X337" s="14" t="e">
        <f ca="1"/>
        <v>#N/A</v>
      </c>
    </row>
    <row r="338" spans="19:24" ht="15.75" customHeight="1" x14ac:dyDescent="0.25">
      <c r="S338" s="14" t="str">
        <f ca="1">IFERROR(__xludf.DUMMYFUNCTION("""COMPUTED_VALUE"""),"")</f>
        <v/>
      </c>
      <c r="T338" s="14" t="e">
        <f ca="1"/>
        <v>#N/A</v>
      </c>
      <c r="U338" s="14" t="e">
        <f ca="1"/>
        <v>#N/A</v>
      </c>
      <c r="V338" s="14" t="e">
        <f ca="1"/>
        <v>#N/A</v>
      </c>
      <c r="W338" s="8" t="e">
        <f ca="1"/>
        <v>#N/A</v>
      </c>
      <c r="X338" s="14" t="e">
        <f ca="1"/>
        <v>#N/A</v>
      </c>
    </row>
    <row r="339" spans="19:24" ht="15.75" customHeight="1" x14ac:dyDescent="0.25">
      <c r="S339" s="14" t="str">
        <f ca="1">IFERROR(__xludf.DUMMYFUNCTION("""COMPUTED_VALUE"""),"")</f>
        <v/>
      </c>
      <c r="T339" s="14" t="e">
        <f ca="1"/>
        <v>#N/A</v>
      </c>
      <c r="U339" s="14" t="e">
        <f ca="1"/>
        <v>#N/A</v>
      </c>
      <c r="V339" s="14" t="e">
        <f ca="1"/>
        <v>#N/A</v>
      </c>
      <c r="W339" s="8" t="e">
        <f ca="1"/>
        <v>#N/A</v>
      </c>
      <c r="X339" s="14" t="e">
        <f ca="1"/>
        <v>#N/A</v>
      </c>
    </row>
    <row r="340" spans="19:24" ht="15.75" customHeight="1" x14ac:dyDescent="0.25">
      <c r="S340" s="14" t="str">
        <f ca="1">IFERROR(__xludf.DUMMYFUNCTION("""COMPUTED_VALUE"""),"")</f>
        <v/>
      </c>
      <c r="T340" s="14" t="e">
        <f ca="1"/>
        <v>#N/A</v>
      </c>
      <c r="U340" s="14" t="e">
        <f ca="1"/>
        <v>#N/A</v>
      </c>
      <c r="V340" s="14" t="e">
        <f ca="1"/>
        <v>#N/A</v>
      </c>
      <c r="W340" s="8" t="e">
        <f ca="1"/>
        <v>#N/A</v>
      </c>
      <c r="X340" s="14" t="e">
        <f ca="1"/>
        <v>#N/A</v>
      </c>
    </row>
    <row r="341" spans="19:24" ht="15.75" customHeight="1" x14ac:dyDescent="0.25">
      <c r="S341" s="14" t="str">
        <f ca="1">IFERROR(__xludf.DUMMYFUNCTION("""COMPUTED_VALUE"""),"")</f>
        <v/>
      </c>
      <c r="T341" s="14" t="e">
        <f ca="1"/>
        <v>#N/A</v>
      </c>
      <c r="U341" s="14" t="e">
        <f ca="1"/>
        <v>#N/A</v>
      </c>
      <c r="V341" s="14" t="e">
        <f ca="1"/>
        <v>#N/A</v>
      </c>
      <c r="W341" s="8" t="e">
        <f ca="1"/>
        <v>#N/A</v>
      </c>
      <c r="X341" s="14" t="e">
        <f ca="1"/>
        <v>#N/A</v>
      </c>
    </row>
    <row r="342" spans="19:24" ht="15.75" customHeight="1" x14ac:dyDescent="0.25">
      <c r="S342" s="14" t="str">
        <f ca="1">IFERROR(__xludf.DUMMYFUNCTION("""COMPUTED_VALUE"""),"")</f>
        <v/>
      </c>
      <c r="T342" s="14" t="e">
        <f ca="1"/>
        <v>#N/A</v>
      </c>
      <c r="U342" s="14" t="e">
        <f ca="1"/>
        <v>#N/A</v>
      </c>
      <c r="V342" s="14" t="e">
        <f ca="1"/>
        <v>#N/A</v>
      </c>
      <c r="W342" s="8" t="e">
        <f ca="1"/>
        <v>#N/A</v>
      </c>
      <c r="X342" s="14" t="e">
        <f ca="1"/>
        <v>#N/A</v>
      </c>
    </row>
    <row r="343" spans="19:24" ht="15.75" customHeight="1" x14ac:dyDescent="0.25">
      <c r="S343" s="14" t="str">
        <f ca="1">IFERROR(__xludf.DUMMYFUNCTION("""COMPUTED_VALUE"""),"")</f>
        <v/>
      </c>
      <c r="T343" s="14" t="e">
        <f ca="1"/>
        <v>#N/A</v>
      </c>
      <c r="U343" s="14" t="e">
        <f ca="1"/>
        <v>#N/A</v>
      </c>
      <c r="V343" s="14" t="e">
        <f ca="1"/>
        <v>#N/A</v>
      </c>
      <c r="W343" s="8" t="e">
        <f ca="1"/>
        <v>#N/A</v>
      </c>
      <c r="X343" s="14" t="e">
        <f ca="1"/>
        <v>#N/A</v>
      </c>
    </row>
    <row r="344" spans="19:24" ht="15.75" customHeight="1" x14ac:dyDescent="0.25">
      <c r="S344" s="14" t="str">
        <f ca="1">IFERROR(__xludf.DUMMYFUNCTION("""COMPUTED_VALUE"""),"")</f>
        <v/>
      </c>
      <c r="T344" s="14" t="e">
        <f ca="1"/>
        <v>#N/A</v>
      </c>
      <c r="U344" s="14" t="e">
        <f ca="1"/>
        <v>#N/A</v>
      </c>
      <c r="V344" s="14" t="e">
        <f ca="1"/>
        <v>#N/A</v>
      </c>
      <c r="W344" s="8" t="e">
        <f ca="1"/>
        <v>#N/A</v>
      </c>
      <c r="X344" s="14" t="e">
        <f ca="1"/>
        <v>#N/A</v>
      </c>
    </row>
    <row r="345" spans="19:24" ht="15.75" customHeight="1" x14ac:dyDescent="0.25">
      <c r="S345" s="14" t="str">
        <f ca="1">IFERROR(__xludf.DUMMYFUNCTION("""COMPUTED_VALUE"""),"")</f>
        <v/>
      </c>
      <c r="T345" s="14" t="e">
        <f ca="1"/>
        <v>#N/A</v>
      </c>
      <c r="U345" s="14" t="e">
        <f ca="1"/>
        <v>#N/A</v>
      </c>
      <c r="V345" s="14" t="e">
        <f ca="1"/>
        <v>#N/A</v>
      </c>
      <c r="W345" s="8" t="e">
        <f ca="1"/>
        <v>#N/A</v>
      </c>
      <c r="X345" s="14" t="e">
        <f ca="1"/>
        <v>#N/A</v>
      </c>
    </row>
    <row r="346" spans="19:24" ht="15.75" customHeight="1" x14ac:dyDescent="0.25">
      <c r="S346" s="14" t="str">
        <f ca="1">IFERROR(__xludf.DUMMYFUNCTION("""COMPUTED_VALUE"""),"")</f>
        <v/>
      </c>
      <c r="T346" s="14" t="e">
        <f ca="1"/>
        <v>#N/A</v>
      </c>
      <c r="U346" s="14" t="e">
        <f ca="1"/>
        <v>#N/A</v>
      </c>
      <c r="V346" s="14" t="e">
        <f ca="1"/>
        <v>#N/A</v>
      </c>
      <c r="W346" s="8" t="e">
        <f ca="1"/>
        <v>#N/A</v>
      </c>
      <c r="X346" s="14" t="e">
        <f ca="1"/>
        <v>#N/A</v>
      </c>
    </row>
    <row r="347" spans="19:24" ht="15.75" customHeight="1" x14ac:dyDescent="0.25">
      <c r="S347" s="14" t="str">
        <f ca="1">IFERROR(__xludf.DUMMYFUNCTION("""COMPUTED_VALUE"""),"")</f>
        <v/>
      </c>
      <c r="T347" s="14" t="e">
        <f ca="1"/>
        <v>#N/A</v>
      </c>
      <c r="U347" s="14" t="e">
        <f ca="1"/>
        <v>#N/A</v>
      </c>
      <c r="V347" s="14" t="e">
        <f ca="1"/>
        <v>#N/A</v>
      </c>
      <c r="W347" s="8" t="e">
        <f ca="1"/>
        <v>#N/A</v>
      </c>
      <c r="X347" s="14" t="e">
        <f ca="1"/>
        <v>#N/A</v>
      </c>
    </row>
    <row r="348" spans="19:24" ht="15.75" customHeight="1" x14ac:dyDescent="0.25">
      <c r="S348" s="14" t="str">
        <f ca="1">IFERROR(__xludf.DUMMYFUNCTION("""COMPUTED_VALUE"""),"")</f>
        <v/>
      </c>
      <c r="T348" s="14" t="e">
        <f ca="1"/>
        <v>#N/A</v>
      </c>
      <c r="U348" s="14" t="e">
        <f ca="1"/>
        <v>#N/A</v>
      </c>
      <c r="V348" s="14" t="e">
        <f ca="1"/>
        <v>#N/A</v>
      </c>
      <c r="W348" s="8" t="e">
        <f ca="1"/>
        <v>#N/A</v>
      </c>
      <c r="X348" s="14" t="e">
        <f ca="1"/>
        <v>#N/A</v>
      </c>
    </row>
    <row r="349" spans="19:24" ht="15.75" customHeight="1" x14ac:dyDescent="0.25">
      <c r="S349" s="14" t="str">
        <f ca="1">IFERROR(__xludf.DUMMYFUNCTION("""COMPUTED_VALUE"""),"")</f>
        <v/>
      </c>
      <c r="T349" s="14" t="e">
        <f ca="1"/>
        <v>#N/A</v>
      </c>
      <c r="U349" s="14" t="e">
        <f ca="1"/>
        <v>#N/A</v>
      </c>
      <c r="V349" s="14" t="e">
        <f ca="1"/>
        <v>#N/A</v>
      </c>
      <c r="W349" s="8" t="e">
        <f ca="1"/>
        <v>#N/A</v>
      </c>
      <c r="X349" s="14" t="e">
        <f ca="1"/>
        <v>#N/A</v>
      </c>
    </row>
    <row r="350" spans="19:24" ht="15.75" customHeight="1" x14ac:dyDescent="0.25">
      <c r="S350" s="14" t="str">
        <f ca="1">IFERROR(__xludf.DUMMYFUNCTION("""COMPUTED_VALUE"""),"")</f>
        <v/>
      </c>
      <c r="T350" s="14" t="e">
        <f ca="1"/>
        <v>#N/A</v>
      </c>
      <c r="U350" s="14" t="e">
        <f ca="1"/>
        <v>#N/A</v>
      </c>
      <c r="V350" s="14" t="e">
        <f ca="1"/>
        <v>#N/A</v>
      </c>
      <c r="W350" s="8" t="e">
        <f ca="1"/>
        <v>#N/A</v>
      </c>
      <c r="X350" s="14" t="e">
        <f ca="1"/>
        <v>#N/A</v>
      </c>
    </row>
    <row r="351" spans="19:24" ht="15.75" customHeight="1" x14ac:dyDescent="0.25">
      <c r="S351" s="14" t="str">
        <f ca="1">IFERROR(__xludf.DUMMYFUNCTION("""COMPUTED_VALUE"""),"")</f>
        <v/>
      </c>
      <c r="T351" s="14" t="e">
        <f ca="1"/>
        <v>#N/A</v>
      </c>
      <c r="U351" s="14" t="e">
        <f ca="1"/>
        <v>#N/A</v>
      </c>
      <c r="V351" s="14" t="e">
        <f ca="1"/>
        <v>#N/A</v>
      </c>
      <c r="W351" s="8" t="e">
        <f ca="1"/>
        <v>#N/A</v>
      </c>
      <c r="X351" s="14" t="e">
        <f ca="1"/>
        <v>#N/A</v>
      </c>
    </row>
    <row r="352" spans="19:24" ht="15.75" customHeight="1" x14ac:dyDescent="0.25">
      <c r="S352" s="14" t="str">
        <f ca="1">IFERROR(__xludf.DUMMYFUNCTION("""COMPUTED_VALUE"""),"")</f>
        <v/>
      </c>
      <c r="T352" s="14" t="e">
        <f ca="1"/>
        <v>#N/A</v>
      </c>
      <c r="U352" s="14" t="e">
        <f ca="1"/>
        <v>#N/A</v>
      </c>
      <c r="V352" s="14" t="e">
        <f ca="1"/>
        <v>#N/A</v>
      </c>
      <c r="W352" s="8" t="e">
        <f ca="1"/>
        <v>#N/A</v>
      </c>
      <c r="X352" s="14" t="e">
        <f ca="1"/>
        <v>#N/A</v>
      </c>
    </row>
    <row r="353" spans="19:24" ht="15.75" customHeight="1" x14ac:dyDescent="0.25">
      <c r="S353" s="14" t="str">
        <f ca="1">IFERROR(__xludf.DUMMYFUNCTION("""COMPUTED_VALUE"""),"")</f>
        <v/>
      </c>
      <c r="T353" s="14" t="e">
        <f ca="1"/>
        <v>#N/A</v>
      </c>
      <c r="U353" s="14" t="e">
        <f ca="1"/>
        <v>#N/A</v>
      </c>
      <c r="V353" s="14" t="e">
        <f ca="1"/>
        <v>#N/A</v>
      </c>
      <c r="W353" s="8" t="e">
        <f ca="1"/>
        <v>#N/A</v>
      </c>
      <c r="X353" s="14" t="e">
        <f ca="1"/>
        <v>#N/A</v>
      </c>
    </row>
    <row r="354" spans="19:24" ht="15.75" customHeight="1" x14ac:dyDescent="0.25">
      <c r="S354" s="14" t="str">
        <f ca="1">IFERROR(__xludf.DUMMYFUNCTION("""COMPUTED_VALUE"""),"")</f>
        <v/>
      </c>
      <c r="T354" s="14" t="e">
        <f ca="1"/>
        <v>#N/A</v>
      </c>
      <c r="U354" s="14" t="e">
        <f ca="1"/>
        <v>#N/A</v>
      </c>
      <c r="V354" s="14" t="e">
        <f ca="1"/>
        <v>#N/A</v>
      </c>
      <c r="W354" s="8" t="e">
        <f ca="1"/>
        <v>#N/A</v>
      </c>
      <c r="X354" s="14" t="e">
        <f ca="1"/>
        <v>#N/A</v>
      </c>
    </row>
    <row r="355" spans="19:24" ht="15.75" customHeight="1" x14ac:dyDescent="0.25">
      <c r="S355" s="14" t="str">
        <f ca="1">IFERROR(__xludf.DUMMYFUNCTION("""COMPUTED_VALUE"""),"")</f>
        <v/>
      </c>
      <c r="T355" s="14" t="e">
        <f ca="1"/>
        <v>#N/A</v>
      </c>
      <c r="U355" s="14" t="e">
        <f ca="1"/>
        <v>#N/A</v>
      </c>
      <c r="V355" s="14" t="e">
        <f ca="1"/>
        <v>#N/A</v>
      </c>
      <c r="W355" s="8" t="e">
        <f ca="1"/>
        <v>#N/A</v>
      </c>
      <c r="X355" s="14" t="e">
        <f ca="1"/>
        <v>#N/A</v>
      </c>
    </row>
    <row r="356" spans="19:24" ht="15.75" customHeight="1" x14ac:dyDescent="0.25">
      <c r="S356" s="14" t="str">
        <f ca="1">IFERROR(__xludf.DUMMYFUNCTION("""COMPUTED_VALUE"""),"")</f>
        <v/>
      </c>
      <c r="T356" s="14" t="e">
        <f ca="1"/>
        <v>#N/A</v>
      </c>
      <c r="U356" s="14" t="e">
        <f ca="1"/>
        <v>#N/A</v>
      </c>
      <c r="V356" s="14" t="e">
        <f ca="1"/>
        <v>#N/A</v>
      </c>
      <c r="W356" s="8" t="e">
        <f ca="1"/>
        <v>#N/A</v>
      </c>
      <c r="X356" s="14" t="e">
        <f ca="1"/>
        <v>#N/A</v>
      </c>
    </row>
    <row r="357" spans="19:24" ht="15.75" customHeight="1" x14ac:dyDescent="0.25">
      <c r="S357" s="14" t="str">
        <f ca="1">IFERROR(__xludf.DUMMYFUNCTION("""COMPUTED_VALUE"""),"")</f>
        <v/>
      </c>
      <c r="T357" s="14" t="e">
        <f ca="1"/>
        <v>#N/A</v>
      </c>
      <c r="U357" s="14" t="e">
        <f ca="1"/>
        <v>#N/A</v>
      </c>
      <c r="V357" s="14" t="e">
        <f ca="1"/>
        <v>#N/A</v>
      </c>
      <c r="W357" s="8" t="e">
        <f ca="1"/>
        <v>#N/A</v>
      </c>
      <c r="X357" s="14" t="e">
        <f ca="1"/>
        <v>#N/A</v>
      </c>
    </row>
    <row r="358" spans="19:24" ht="15.75" customHeight="1" x14ac:dyDescent="0.25">
      <c r="S358" s="14" t="str">
        <f ca="1">IFERROR(__xludf.DUMMYFUNCTION("""COMPUTED_VALUE"""),"")</f>
        <v/>
      </c>
      <c r="T358" s="14" t="e">
        <f ca="1"/>
        <v>#N/A</v>
      </c>
      <c r="U358" s="14" t="e">
        <f ca="1"/>
        <v>#N/A</v>
      </c>
      <c r="V358" s="14" t="e">
        <f ca="1"/>
        <v>#N/A</v>
      </c>
      <c r="W358" s="8" t="e">
        <f ca="1"/>
        <v>#N/A</v>
      </c>
      <c r="X358" s="14" t="e">
        <f ca="1"/>
        <v>#N/A</v>
      </c>
    </row>
    <row r="359" spans="19:24" ht="15.75" customHeight="1" x14ac:dyDescent="0.25">
      <c r="S359" s="14" t="str">
        <f ca="1">IFERROR(__xludf.DUMMYFUNCTION("""COMPUTED_VALUE"""),"")</f>
        <v/>
      </c>
      <c r="T359" s="14" t="e">
        <f ca="1"/>
        <v>#N/A</v>
      </c>
      <c r="U359" s="14" t="e">
        <f ca="1"/>
        <v>#N/A</v>
      </c>
      <c r="V359" s="14" t="e">
        <f ca="1"/>
        <v>#N/A</v>
      </c>
      <c r="W359" s="8" t="e">
        <f ca="1"/>
        <v>#N/A</v>
      </c>
      <c r="X359" s="14" t="e">
        <f ca="1"/>
        <v>#N/A</v>
      </c>
    </row>
    <row r="360" spans="19:24" ht="15.75" customHeight="1" x14ac:dyDescent="0.25">
      <c r="S360" s="14" t="str">
        <f ca="1">IFERROR(__xludf.DUMMYFUNCTION("""COMPUTED_VALUE"""),"")</f>
        <v/>
      </c>
      <c r="T360" s="14" t="e">
        <f ca="1"/>
        <v>#N/A</v>
      </c>
      <c r="U360" s="14" t="e">
        <f ca="1"/>
        <v>#N/A</v>
      </c>
      <c r="V360" s="14" t="e">
        <f ca="1"/>
        <v>#N/A</v>
      </c>
      <c r="W360" s="8" t="e">
        <f ca="1"/>
        <v>#N/A</v>
      </c>
      <c r="X360" s="14" t="e">
        <f ca="1"/>
        <v>#N/A</v>
      </c>
    </row>
    <row r="361" spans="19:24" ht="15.75" customHeight="1" x14ac:dyDescent="0.25">
      <c r="S361" s="14" t="str">
        <f ca="1">IFERROR(__xludf.DUMMYFUNCTION("""COMPUTED_VALUE"""),"")</f>
        <v/>
      </c>
      <c r="T361" s="14" t="e">
        <f ca="1"/>
        <v>#N/A</v>
      </c>
      <c r="U361" s="14" t="e">
        <f ca="1"/>
        <v>#N/A</v>
      </c>
      <c r="V361" s="14" t="e">
        <f ca="1"/>
        <v>#N/A</v>
      </c>
      <c r="W361" s="8" t="e">
        <f ca="1"/>
        <v>#N/A</v>
      </c>
      <c r="X361" s="14" t="e">
        <f ca="1"/>
        <v>#N/A</v>
      </c>
    </row>
    <row r="362" spans="19:24" ht="15.75" customHeight="1" x14ac:dyDescent="0.25">
      <c r="S362" s="14" t="str">
        <f ca="1">IFERROR(__xludf.DUMMYFUNCTION("""COMPUTED_VALUE"""),"")</f>
        <v/>
      </c>
      <c r="T362" s="14" t="e">
        <f ca="1"/>
        <v>#N/A</v>
      </c>
      <c r="U362" s="14" t="e">
        <f ca="1"/>
        <v>#N/A</v>
      </c>
      <c r="V362" s="14" t="e">
        <f ca="1"/>
        <v>#N/A</v>
      </c>
      <c r="W362" s="8" t="e">
        <f ca="1"/>
        <v>#N/A</v>
      </c>
      <c r="X362" s="14" t="e">
        <f ca="1"/>
        <v>#N/A</v>
      </c>
    </row>
    <row r="363" spans="19:24" ht="15.75" customHeight="1" x14ac:dyDescent="0.25">
      <c r="S363" s="14" t="str">
        <f ca="1">IFERROR(__xludf.DUMMYFUNCTION("""COMPUTED_VALUE"""),"")</f>
        <v/>
      </c>
      <c r="T363" s="14" t="e">
        <f ca="1"/>
        <v>#N/A</v>
      </c>
      <c r="U363" s="14" t="e">
        <f ca="1"/>
        <v>#N/A</v>
      </c>
      <c r="V363" s="14" t="e">
        <f ca="1"/>
        <v>#N/A</v>
      </c>
      <c r="W363" s="8" t="e">
        <f ca="1"/>
        <v>#N/A</v>
      </c>
      <c r="X363" s="14" t="e">
        <f ca="1"/>
        <v>#N/A</v>
      </c>
    </row>
    <row r="364" spans="19:24" ht="15.75" customHeight="1" x14ac:dyDescent="0.25">
      <c r="S364" s="14" t="str">
        <f ca="1">IFERROR(__xludf.DUMMYFUNCTION("""COMPUTED_VALUE"""),"")</f>
        <v/>
      </c>
      <c r="T364" s="14" t="e">
        <f ca="1"/>
        <v>#N/A</v>
      </c>
      <c r="U364" s="14" t="e">
        <f ca="1"/>
        <v>#N/A</v>
      </c>
      <c r="V364" s="14" t="e">
        <f ca="1"/>
        <v>#N/A</v>
      </c>
      <c r="W364" s="8" t="e">
        <f ca="1"/>
        <v>#N/A</v>
      </c>
      <c r="X364" s="14" t="e">
        <f ca="1"/>
        <v>#N/A</v>
      </c>
    </row>
    <row r="365" spans="19:24" ht="15.75" customHeight="1" x14ac:dyDescent="0.25">
      <c r="S365" s="14" t="str">
        <f ca="1">IFERROR(__xludf.DUMMYFUNCTION("""COMPUTED_VALUE"""),"")</f>
        <v/>
      </c>
      <c r="T365" s="14" t="e">
        <f ca="1"/>
        <v>#N/A</v>
      </c>
      <c r="U365" s="14" t="e">
        <f ca="1"/>
        <v>#N/A</v>
      </c>
      <c r="V365" s="14" t="e">
        <f ca="1"/>
        <v>#N/A</v>
      </c>
      <c r="W365" s="8" t="e">
        <f ca="1"/>
        <v>#N/A</v>
      </c>
      <c r="X365" s="14" t="e">
        <f ca="1"/>
        <v>#N/A</v>
      </c>
    </row>
    <row r="366" spans="19:24" ht="15.75" customHeight="1" x14ac:dyDescent="0.25">
      <c r="S366" s="14" t="str">
        <f ca="1">IFERROR(__xludf.DUMMYFUNCTION("""COMPUTED_VALUE"""),"")</f>
        <v/>
      </c>
      <c r="T366" s="14" t="e">
        <f ca="1"/>
        <v>#N/A</v>
      </c>
      <c r="U366" s="14" t="e">
        <f ca="1"/>
        <v>#N/A</v>
      </c>
      <c r="V366" s="14" t="e">
        <f ca="1"/>
        <v>#N/A</v>
      </c>
      <c r="W366" s="8" t="e">
        <f ca="1"/>
        <v>#N/A</v>
      </c>
      <c r="X366" s="14" t="e">
        <f ca="1"/>
        <v>#N/A</v>
      </c>
    </row>
    <row r="367" spans="19:24" ht="15.75" customHeight="1" x14ac:dyDescent="0.25">
      <c r="S367" s="14" t="str">
        <f ca="1">IFERROR(__xludf.DUMMYFUNCTION("""COMPUTED_VALUE"""),"")</f>
        <v/>
      </c>
      <c r="T367" s="14" t="e">
        <f ca="1"/>
        <v>#N/A</v>
      </c>
      <c r="U367" s="14" t="e">
        <f ca="1"/>
        <v>#N/A</v>
      </c>
      <c r="V367" s="14" t="e">
        <f ca="1"/>
        <v>#N/A</v>
      </c>
      <c r="W367" s="8" t="e">
        <f ca="1"/>
        <v>#N/A</v>
      </c>
      <c r="X367" s="14" t="e">
        <f ca="1"/>
        <v>#N/A</v>
      </c>
    </row>
    <row r="368" spans="19:24" ht="15.75" customHeight="1" x14ac:dyDescent="0.25">
      <c r="S368" s="14" t="str">
        <f ca="1">IFERROR(__xludf.DUMMYFUNCTION("""COMPUTED_VALUE"""),"")</f>
        <v/>
      </c>
      <c r="T368" s="14" t="e">
        <f ca="1"/>
        <v>#N/A</v>
      </c>
      <c r="U368" s="14" t="e">
        <f ca="1"/>
        <v>#N/A</v>
      </c>
      <c r="V368" s="14" t="e">
        <f ca="1"/>
        <v>#N/A</v>
      </c>
      <c r="W368" s="8" t="e">
        <f ca="1"/>
        <v>#N/A</v>
      </c>
      <c r="X368" s="14" t="e">
        <f ca="1"/>
        <v>#N/A</v>
      </c>
    </row>
    <row r="369" spans="19:24" ht="15.75" customHeight="1" x14ac:dyDescent="0.25">
      <c r="S369" s="14" t="str">
        <f ca="1">IFERROR(__xludf.DUMMYFUNCTION("""COMPUTED_VALUE"""),"")</f>
        <v/>
      </c>
      <c r="T369" s="14" t="e">
        <f ca="1"/>
        <v>#N/A</v>
      </c>
      <c r="U369" s="14" t="e">
        <f ca="1"/>
        <v>#N/A</v>
      </c>
      <c r="V369" s="14" t="e">
        <f ca="1"/>
        <v>#N/A</v>
      </c>
      <c r="W369" s="8" t="e">
        <f ca="1"/>
        <v>#N/A</v>
      </c>
      <c r="X369" s="14" t="e">
        <f ca="1"/>
        <v>#N/A</v>
      </c>
    </row>
    <row r="370" spans="19:24" ht="15.75" customHeight="1" x14ac:dyDescent="0.25">
      <c r="S370" s="14" t="str">
        <f ca="1">IFERROR(__xludf.DUMMYFUNCTION("""COMPUTED_VALUE"""),"")</f>
        <v/>
      </c>
      <c r="T370" s="14" t="e">
        <f ca="1"/>
        <v>#N/A</v>
      </c>
      <c r="U370" s="14" t="e">
        <f ca="1"/>
        <v>#N/A</v>
      </c>
      <c r="V370" s="14" t="e">
        <f ca="1"/>
        <v>#N/A</v>
      </c>
      <c r="W370" s="8" t="e">
        <f ca="1"/>
        <v>#N/A</v>
      </c>
      <c r="X370" s="14" t="e">
        <f ca="1"/>
        <v>#N/A</v>
      </c>
    </row>
    <row r="371" spans="19:24" ht="15.75" customHeight="1" x14ac:dyDescent="0.25">
      <c r="S371" s="14" t="str">
        <f ca="1">IFERROR(__xludf.DUMMYFUNCTION("""COMPUTED_VALUE"""),"")</f>
        <v/>
      </c>
      <c r="T371" s="14" t="e">
        <f ca="1"/>
        <v>#N/A</v>
      </c>
      <c r="U371" s="14" t="e">
        <f ca="1"/>
        <v>#N/A</v>
      </c>
      <c r="V371" s="14" t="e">
        <f ca="1"/>
        <v>#N/A</v>
      </c>
      <c r="W371" s="8" t="e">
        <f ca="1"/>
        <v>#N/A</v>
      </c>
      <c r="X371" s="14" t="e">
        <f ca="1"/>
        <v>#N/A</v>
      </c>
    </row>
    <row r="372" spans="19:24" ht="15.75" customHeight="1" x14ac:dyDescent="0.25">
      <c r="S372" s="14" t="str">
        <f ca="1">IFERROR(__xludf.DUMMYFUNCTION("""COMPUTED_VALUE"""),"")</f>
        <v/>
      </c>
      <c r="T372" s="14" t="e">
        <f ca="1"/>
        <v>#N/A</v>
      </c>
      <c r="U372" s="14" t="e">
        <f ca="1"/>
        <v>#N/A</v>
      </c>
      <c r="V372" s="14" t="e">
        <f ca="1"/>
        <v>#N/A</v>
      </c>
      <c r="W372" s="8" t="e">
        <f ca="1"/>
        <v>#N/A</v>
      </c>
      <c r="X372" s="14" t="e">
        <f ca="1"/>
        <v>#N/A</v>
      </c>
    </row>
    <row r="373" spans="19:24" ht="15.75" customHeight="1" x14ac:dyDescent="0.25">
      <c r="S373" s="14" t="str">
        <f ca="1">IFERROR(__xludf.DUMMYFUNCTION("""COMPUTED_VALUE"""),"")</f>
        <v/>
      </c>
      <c r="T373" s="14" t="e">
        <f ca="1"/>
        <v>#N/A</v>
      </c>
      <c r="U373" s="14" t="e">
        <f ca="1"/>
        <v>#N/A</v>
      </c>
      <c r="V373" s="14" t="e">
        <f ca="1"/>
        <v>#N/A</v>
      </c>
      <c r="W373" s="8" t="e">
        <f ca="1"/>
        <v>#N/A</v>
      </c>
      <c r="X373" s="14" t="e">
        <f ca="1"/>
        <v>#N/A</v>
      </c>
    </row>
    <row r="374" spans="19:24" ht="15.75" customHeight="1" x14ac:dyDescent="0.25">
      <c r="S374" s="14" t="str">
        <f ca="1">IFERROR(__xludf.DUMMYFUNCTION("""COMPUTED_VALUE"""),"")</f>
        <v/>
      </c>
      <c r="T374" s="14" t="e">
        <f ca="1"/>
        <v>#N/A</v>
      </c>
      <c r="U374" s="14" t="e">
        <f ca="1"/>
        <v>#N/A</v>
      </c>
      <c r="V374" s="14" t="e">
        <f ca="1"/>
        <v>#N/A</v>
      </c>
      <c r="W374" s="8" t="e">
        <f ca="1"/>
        <v>#N/A</v>
      </c>
      <c r="X374" s="14" t="e">
        <f ca="1"/>
        <v>#N/A</v>
      </c>
    </row>
    <row r="375" spans="19:24" ht="15.75" customHeight="1" x14ac:dyDescent="0.25">
      <c r="S375" s="14" t="str">
        <f ca="1">IFERROR(__xludf.DUMMYFUNCTION("""COMPUTED_VALUE"""),"")</f>
        <v/>
      </c>
      <c r="T375" s="14" t="e">
        <f ca="1"/>
        <v>#N/A</v>
      </c>
      <c r="U375" s="14" t="e">
        <f ca="1"/>
        <v>#N/A</v>
      </c>
      <c r="V375" s="14" t="e">
        <f ca="1"/>
        <v>#N/A</v>
      </c>
      <c r="W375" s="8" t="e">
        <f ca="1"/>
        <v>#N/A</v>
      </c>
      <c r="X375" s="14" t="e">
        <f ca="1"/>
        <v>#N/A</v>
      </c>
    </row>
    <row r="376" spans="19:24" ht="15.75" customHeight="1" x14ac:dyDescent="0.25">
      <c r="S376" s="14" t="str">
        <f ca="1">IFERROR(__xludf.DUMMYFUNCTION("""COMPUTED_VALUE"""),"")</f>
        <v/>
      </c>
      <c r="T376" s="14" t="e">
        <f ca="1"/>
        <v>#N/A</v>
      </c>
      <c r="U376" s="14" t="e">
        <f ca="1"/>
        <v>#N/A</v>
      </c>
      <c r="V376" s="14" t="e">
        <f ca="1"/>
        <v>#N/A</v>
      </c>
      <c r="W376" s="8" t="e">
        <f ca="1"/>
        <v>#N/A</v>
      </c>
      <c r="X376" s="14" t="e">
        <f ca="1"/>
        <v>#N/A</v>
      </c>
    </row>
    <row r="377" spans="19:24" ht="15.75" customHeight="1" x14ac:dyDescent="0.25">
      <c r="S377" s="14" t="str">
        <f ca="1">IFERROR(__xludf.DUMMYFUNCTION("""COMPUTED_VALUE"""),"")</f>
        <v/>
      </c>
      <c r="T377" s="14" t="e">
        <f ca="1"/>
        <v>#N/A</v>
      </c>
      <c r="U377" s="14" t="e">
        <f ca="1"/>
        <v>#N/A</v>
      </c>
      <c r="V377" s="14" t="e">
        <f ca="1"/>
        <v>#N/A</v>
      </c>
      <c r="W377" s="8" t="e">
        <f ca="1"/>
        <v>#N/A</v>
      </c>
      <c r="X377" s="14" t="e">
        <f ca="1"/>
        <v>#N/A</v>
      </c>
    </row>
    <row r="378" spans="19:24" ht="15.75" customHeight="1" x14ac:dyDescent="0.25">
      <c r="S378" s="14" t="str">
        <f ca="1">IFERROR(__xludf.DUMMYFUNCTION("""COMPUTED_VALUE"""),"")</f>
        <v/>
      </c>
      <c r="T378" s="14" t="e">
        <f ca="1"/>
        <v>#N/A</v>
      </c>
      <c r="U378" s="14" t="e">
        <f ca="1"/>
        <v>#N/A</v>
      </c>
      <c r="V378" s="14" t="e">
        <f ca="1"/>
        <v>#N/A</v>
      </c>
      <c r="W378" s="8" t="e">
        <f ca="1"/>
        <v>#N/A</v>
      </c>
      <c r="X378" s="14" t="e">
        <f ca="1"/>
        <v>#N/A</v>
      </c>
    </row>
    <row r="379" spans="19:24" ht="15.75" customHeight="1" x14ac:dyDescent="0.25">
      <c r="S379" s="14" t="str">
        <f ca="1">IFERROR(__xludf.DUMMYFUNCTION("""COMPUTED_VALUE"""),"")</f>
        <v/>
      </c>
      <c r="T379" s="14" t="e">
        <f ca="1"/>
        <v>#N/A</v>
      </c>
      <c r="U379" s="14" t="e">
        <f ca="1"/>
        <v>#N/A</v>
      </c>
      <c r="V379" s="14" t="e">
        <f ca="1"/>
        <v>#N/A</v>
      </c>
      <c r="W379" s="8" t="e">
        <f ca="1"/>
        <v>#N/A</v>
      </c>
      <c r="X379" s="14" t="e">
        <f ca="1"/>
        <v>#N/A</v>
      </c>
    </row>
    <row r="380" spans="19:24" ht="15.75" customHeight="1" x14ac:dyDescent="0.25">
      <c r="S380" s="14" t="str">
        <f ca="1">IFERROR(__xludf.DUMMYFUNCTION("""COMPUTED_VALUE"""),"")</f>
        <v/>
      </c>
      <c r="T380" s="14" t="e">
        <f ca="1"/>
        <v>#N/A</v>
      </c>
      <c r="U380" s="14" t="e">
        <f ca="1"/>
        <v>#N/A</v>
      </c>
      <c r="V380" s="14" t="e">
        <f ca="1"/>
        <v>#N/A</v>
      </c>
      <c r="W380" s="8" t="e">
        <f ca="1"/>
        <v>#N/A</v>
      </c>
      <c r="X380" s="14" t="e">
        <f ca="1"/>
        <v>#N/A</v>
      </c>
    </row>
    <row r="381" spans="19:24" ht="15.75" customHeight="1" x14ac:dyDescent="0.25">
      <c r="S381" s="14" t="str">
        <f ca="1">IFERROR(__xludf.DUMMYFUNCTION("""COMPUTED_VALUE"""),"")</f>
        <v/>
      </c>
      <c r="T381" s="14" t="e">
        <f ca="1"/>
        <v>#N/A</v>
      </c>
      <c r="U381" s="14" t="e">
        <f ca="1"/>
        <v>#N/A</v>
      </c>
      <c r="V381" s="14" t="e">
        <f ca="1"/>
        <v>#N/A</v>
      </c>
      <c r="W381" s="8" t="e">
        <f ca="1"/>
        <v>#N/A</v>
      </c>
      <c r="X381" s="14" t="e">
        <f ca="1"/>
        <v>#N/A</v>
      </c>
    </row>
    <row r="382" spans="19:24" ht="15.75" customHeight="1" x14ac:dyDescent="0.25">
      <c r="S382" s="14" t="str">
        <f ca="1">IFERROR(__xludf.DUMMYFUNCTION("""COMPUTED_VALUE"""),"")</f>
        <v/>
      </c>
      <c r="T382" s="14" t="e">
        <f ca="1"/>
        <v>#N/A</v>
      </c>
      <c r="U382" s="14" t="e">
        <f ca="1"/>
        <v>#N/A</v>
      </c>
      <c r="V382" s="14" t="e">
        <f ca="1"/>
        <v>#N/A</v>
      </c>
      <c r="W382" s="8" t="e">
        <f ca="1"/>
        <v>#N/A</v>
      </c>
      <c r="X382" s="14" t="e">
        <f ca="1"/>
        <v>#N/A</v>
      </c>
    </row>
    <row r="383" spans="19:24" ht="15.75" customHeight="1" x14ac:dyDescent="0.25">
      <c r="S383" s="14" t="str">
        <f ca="1">IFERROR(__xludf.DUMMYFUNCTION("""COMPUTED_VALUE"""),"")</f>
        <v/>
      </c>
      <c r="T383" s="14" t="e">
        <f ca="1"/>
        <v>#N/A</v>
      </c>
      <c r="U383" s="14" t="e">
        <f ca="1"/>
        <v>#N/A</v>
      </c>
      <c r="V383" s="14" t="e">
        <f ca="1"/>
        <v>#N/A</v>
      </c>
      <c r="W383" s="8" t="e">
        <f ca="1"/>
        <v>#N/A</v>
      </c>
      <c r="X383" s="14" t="e">
        <f ca="1"/>
        <v>#N/A</v>
      </c>
    </row>
    <row r="384" spans="19:24" ht="15.75" customHeight="1" x14ac:dyDescent="0.25">
      <c r="S384" s="14" t="str">
        <f ca="1">IFERROR(__xludf.DUMMYFUNCTION("""COMPUTED_VALUE"""),"")</f>
        <v/>
      </c>
      <c r="T384" s="14" t="e">
        <f ca="1"/>
        <v>#N/A</v>
      </c>
      <c r="U384" s="14" t="e">
        <f ca="1"/>
        <v>#N/A</v>
      </c>
      <c r="V384" s="14" t="e">
        <f ca="1"/>
        <v>#N/A</v>
      </c>
      <c r="W384" s="8" t="e">
        <f ca="1"/>
        <v>#N/A</v>
      </c>
      <c r="X384" s="14" t="e">
        <f ca="1"/>
        <v>#N/A</v>
      </c>
    </row>
    <row r="385" spans="19:24" ht="15.75" customHeight="1" x14ac:dyDescent="0.25">
      <c r="S385" s="14" t="str">
        <f ca="1">IFERROR(__xludf.DUMMYFUNCTION("""COMPUTED_VALUE"""),"")</f>
        <v/>
      </c>
      <c r="T385" s="14" t="e">
        <f ca="1"/>
        <v>#N/A</v>
      </c>
      <c r="U385" s="14" t="e">
        <f ca="1"/>
        <v>#N/A</v>
      </c>
      <c r="V385" s="14" t="e">
        <f ca="1"/>
        <v>#N/A</v>
      </c>
      <c r="W385" s="8" t="e">
        <f ca="1"/>
        <v>#N/A</v>
      </c>
      <c r="X385" s="14" t="e">
        <f ca="1"/>
        <v>#N/A</v>
      </c>
    </row>
    <row r="386" spans="19:24" ht="15.75" customHeight="1" x14ac:dyDescent="0.25">
      <c r="S386" s="14" t="str">
        <f ca="1">IFERROR(__xludf.DUMMYFUNCTION("""COMPUTED_VALUE"""),"")</f>
        <v/>
      </c>
      <c r="T386" s="14" t="e">
        <f ca="1"/>
        <v>#N/A</v>
      </c>
      <c r="U386" s="14" t="e">
        <f ca="1"/>
        <v>#N/A</v>
      </c>
      <c r="V386" s="14" t="e">
        <f ca="1"/>
        <v>#N/A</v>
      </c>
      <c r="W386" s="8" t="e">
        <f ca="1"/>
        <v>#N/A</v>
      </c>
      <c r="X386" s="14" t="e">
        <f ca="1"/>
        <v>#N/A</v>
      </c>
    </row>
    <row r="387" spans="19:24" ht="15.75" customHeight="1" x14ac:dyDescent="0.25">
      <c r="S387" s="14" t="str">
        <f ca="1">IFERROR(__xludf.DUMMYFUNCTION("""COMPUTED_VALUE"""),"")</f>
        <v/>
      </c>
      <c r="T387" s="14" t="e">
        <f ca="1"/>
        <v>#N/A</v>
      </c>
      <c r="U387" s="14" t="e">
        <f ca="1"/>
        <v>#N/A</v>
      </c>
      <c r="V387" s="14" t="e">
        <f ca="1"/>
        <v>#N/A</v>
      </c>
      <c r="W387" s="8" t="e">
        <f ca="1"/>
        <v>#N/A</v>
      </c>
      <c r="X387" s="14" t="e">
        <f ca="1"/>
        <v>#N/A</v>
      </c>
    </row>
    <row r="388" spans="19:24" ht="15.75" customHeight="1" x14ac:dyDescent="0.25">
      <c r="S388" s="14" t="str">
        <f ca="1">IFERROR(__xludf.DUMMYFUNCTION("""COMPUTED_VALUE"""),"")</f>
        <v/>
      </c>
      <c r="T388" s="14" t="e">
        <f ca="1"/>
        <v>#N/A</v>
      </c>
      <c r="U388" s="14" t="e">
        <f ca="1"/>
        <v>#N/A</v>
      </c>
      <c r="V388" s="14" t="e">
        <f ca="1"/>
        <v>#N/A</v>
      </c>
      <c r="W388" s="8" t="e">
        <f ca="1"/>
        <v>#N/A</v>
      </c>
      <c r="X388" s="14" t="e">
        <f ca="1"/>
        <v>#N/A</v>
      </c>
    </row>
    <row r="389" spans="19:24" ht="15.75" customHeight="1" x14ac:dyDescent="0.25">
      <c r="S389" s="14" t="str">
        <f ca="1">IFERROR(__xludf.DUMMYFUNCTION("""COMPUTED_VALUE"""),"")</f>
        <v/>
      </c>
      <c r="T389" s="14" t="e">
        <f ca="1"/>
        <v>#N/A</v>
      </c>
      <c r="U389" s="14" t="e">
        <f ca="1"/>
        <v>#N/A</v>
      </c>
      <c r="V389" s="14" t="e">
        <f ca="1"/>
        <v>#N/A</v>
      </c>
      <c r="W389" s="8" t="e">
        <f ca="1"/>
        <v>#N/A</v>
      </c>
      <c r="X389" s="14" t="e">
        <f ca="1"/>
        <v>#N/A</v>
      </c>
    </row>
    <row r="390" spans="19:24" ht="15.75" customHeight="1" x14ac:dyDescent="0.25">
      <c r="S390" s="14" t="str">
        <f ca="1">IFERROR(__xludf.DUMMYFUNCTION("""COMPUTED_VALUE"""),"")</f>
        <v/>
      </c>
      <c r="T390" s="14" t="e">
        <f ca="1"/>
        <v>#N/A</v>
      </c>
      <c r="U390" s="14" t="e">
        <f ca="1"/>
        <v>#N/A</v>
      </c>
      <c r="V390" s="14" t="e">
        <f ca="1"/>
        <v>#N/A</v>
      </c>
      <c r="W390" s="8" t="e">
        <f ca="1"/>
        <v>#N/A</v>
      </c>
      <c r="X390" s="14" t="e">
        <f ca="1"/>
        <v>#N/A</v>
      </c>
    </row>
    <row r="391" spans="19:24" ht="15.75" customHeight="1" x14ac:dyDescent="0.25">
      <c r="S391" s="14" t="str">
        <f ca="1">IFERROR(__xludf.DUMMYFUNCTION("""COMPUTED_VALUE"""),"")</f>
        <v/>
      </c>
      <c r="T391" s="14" t="e">
        <f ca="1"/>
        <v>#N/A</v>
      </c>
      <c r="U391" s="14" t="e">
        <f ca="1"/>
        <v>#N/A</v>
      </c>
      <c r="V391" s="14" t="e">
        <f ca="1"/>
        <v>#N/A</v>
      </c>
      <c r="W391" s="8" t="e">
        <f ca="1"/>
        <v>#N/A</v>
      </c>
      <c r="X391" s="14" t="e">
        <f ca="1"/>
        <v>#N/A</v>
      </c>
    </row>
    <row r="392" spans="19:24" ht="15.75" customHeight="1" x14ac:dyDescent="0.25">
      <c r="S392" s="14" t="str">
        <f ca="1">IFERROR(__xludf.DUMMYFUNCTION("""COMPUTED_VALUE"""),"")</f>
        <v/>
      </c>
      <c r="T392" s="14" t="e">
        <f ca="1"/>
        <v>#N/A</v>
      </c>
      <c r="U392" s="14" t="e">
        <f ca="1"/>
        <v>#N/A</v>
      </c>
      <c r="V392" s="14" t="e">
        <f ca="1"/>
        <v>#N/A</v>
      </c>
      <c r="W392" s="8" t="e">
        <f ca="1"/>
        <v>#N/A</v>
      </c>
      <c r="X392" s="14" t="e">
        <f ca="1"/>
        <v>#N/A</v>
      </c>
    </row>
    <row r="393" spans="19:24" ht="15.75" customHeight="1" x14ac:dyDescent="0.25">
      <c r="S393" s="14" t="str">
        <f ca="1">IFERROR(__xludf.DUMMYFUNCTION("""COMPUTED_VALUE"""),"")</f>
        <v/>
      </c>
      <c r="T393" s="14" t="e">
        <f ca="1"/>
        <v>#N/A</v>
      </c>
      <c r="U393" s="14" t="e">
        <f ca="1"/>
        <v>#N/A</v>
      </c>
      <c r="V393" s="14" t="e">
        <f ca="1"/>
        <v>#N/A</v>
      </c>
      <c r="W393" s="8" t="e">
        <f ca="1"/>
        <v>#N/A</v>
      </c>
      <c r="X393" s="14" t="e">
        <f ca="1"/>
        <v>#N/A</v>
      </c>
    </row>
    <row r="394" spans="19:24" ht="15.75" customHeight="1" x14ac:dyDescent="0.25">
      <c r="S394" s="14" t="str">
        <f ca="1">IFERROR(__xludf.DUMMYFUNCTION("""COMPUTED_VALUE"""),"")</f>
        <v/>
      </c>
      <c r="T394" s="14" t="e">
        <f ca="1"/>
        <v>#N/A</v>
      </c>
      <c r="U394" s="14" t="e">
        <f ca="1"/>
        <v>#N/A</v>
      </c>
      <c r="V394" s="14" t="e">
        <f ca="1"/>
        <v>#N/A</v>
      </c>
      <c r="W394" s="8" t="e">
        <f ca="1"/>
        <v>#N/A</v>
      </c>
      <c r="X394" s="14" t="e">
        <f ca="1"/>
        <v>#N/A</v>
      </c>
    </row>
    <row r="395" spans="19:24" ht="15.75" customHeight="1" x14ac:dyDescent="0.25">
      <c r="S395" s="14" t="str">
        <f ca="1">IFERROR(__xludf.DUMMYFUNCTION("""COMPUTED_VALUE"""),"")</f>
        <v/>
      </c>
      <c r="T395" s="14" t="e">
        <f ca="1"/>
        <v>#N/A</v>
      </c>
      <c r="U395" s="14" t="e">
        <f ca="1"/>
        <v>#N/A</v>
      </c>
      <c r="V395" s="14" t="e">
        <f ca="1"/>
        <v>#N/A</v>
      </c>
      <c r="W395" s="8" t="e">
        <f ca="1"/>
        <v>#N/A</v>
      </c>
      <c r="X395" s="14" t="e">
        <f ca="1"/>
        <v>#N/A</v>
      </c>
    </row>
    <row r="396" spans="19:24" ht="15.75" customHeight="1" x14ac:dyDescent="0.25">
      <c r="S396" s="14" t="str">
        <f ca="1">IFERROR(__xludf.DUMMYFUNCTION("""COMPUTED_VALUE"""),"")</f>
        <v/>
      </c>
      <c r="T396" s="14" t="e">
        <f ca="1"/>
        <v>#N/A</v>
      </c>
      <c r="U396" s="14" t="e">
        <f ca="1"/>
        <v>#N/A</v>
      </c>
      <c r="V396" s="14" t="e">
        <f ca="1"/>
        <v>#N/A</v>
      </c>
      <c r="W396" s="8" t="e">
        <f ca="1"/>
        <v>#N/A</v>
      </c>
      <c r="X396" s="14" t="e">
        <f ca="1"/>
        <v>#N/A</v>
      </c>
    </row>
    <row r="397" spans="19:24" ht="15.75" customHeight="1" x14ac:dyDescent="0.25">
      <c r="S397" s="14" t="str">
        <f ca="1">IFERROR(__xludf.DUMMYFUNCTION("""COMPUTED_VALUE"""),"")</f>
        <v/>
      </c>
      <c r="T397" s="14" t="e">
        <f ca="1"/>
        <v>#N/A</v>
      </c>
      <c r="U397" s="14" t="e">
        <f ca="1"/>
        <v>#N/A</v>
      </c>
      <c r="V397" s="14" t="e">
        <f ca="1"/>
        <v>#N/A</v>
      </c>
      <c r="W397" s="8" t="e">
        <f ca="1"/>
        <v>#N/A</v>
      </c>
      <c r="X397" s="14" t="e">
        <f ca="1"/>
        <v>#N/A</v>
      </c>
    </row>
    <row r="398" spans="19:24" ht="15.75" customHeight="1" x14ac:dyDescent="0.25">
      <c r="S398" s="14" t="str">
        <f ca="1">IFERROR(__xludf.DUMMYFUNCTION("""COMPUTED_VALUE"""),"")</f>
        <v/>
      </c>
      <c r="T398" s="14" t="e">
        <f ca="1"/>
        <v>#N/A</v>
      </c>
      <c r="U398" s="14" t="e">
        <f ca="1"/>
        <v>#N/A</v>
      </c>
      <c r="V398" s="14" t="e">
        <f ca="1"/>
        <v>#N/A</v>
      </c>
      <c r="W398" s="8" t="e">
        <f ca="1"/>
        <v>#N/A</v>
      </c>
      <c r="X398" s="14" t="e">
        <f ca="1"/>
        <v>#N/A</v>
      </c>
    </row>
    <row r="399" spans="19:24" ht="15.75" customHeight="1" x14ac:dyDescent="0.25">
      <c r="S399" s="14" t="str">
        <f ca="1">IFERROR(__xludf.DUMMYFUNCTION("""COMPUTED_VALUE"""),"")</f>
        <v/>
      </c>
      <c r="T399" s="14" t="e">
        <f ca="1"/>
        <v>#N/A</v>
      </c>
      <c r="U399" s="14" t="e">
        <f ca="1"/>
        <v>#N/A</v>
      </c>
      <c r="V399" s="14" t="e">
        <f ca="1"/>
        <v>#N/A</v>
      </c>
      <c r="W399" s="8" t="e">
        <f ca="1"/>
        <v>#N/A</v>
      </c>
      <c r="X399" s="14" t="e">
        <f ca="1"/>
        <v>#N/A</v>
      </c>
    </row>
    <row r="400" spans="19:24" ht="15.75" customHeight="1" x14ac:dyDescent="0.25">
      <c r="S400" s="14" t="str">
        <f ca="1">IFERROR(__xludf.DUMMYFUNCTION("""COMPUTED_VALUE"""),"")</f>
        <v/>
      </c>
      <c r="T400" s="14" t="e">
        <f ca="1"/>
        <v>#N/A</v>
      </c>
      <c r="U400" s="14" t="e">
        <f ca="1"/>
        <v>#N/A</v>
      </c>
      <c r="V400" s="14" t="e">
        <f ca="1"/>
        <v>#N/A</v>
      </c>
      <c r="W400" s="8" t="e">
        <f ca="1"/>
        <v>#N/A</v>
      </c>
      <c r="X400" s="14" t="e">
        <f ca="1"/>
        <v>#N/A</v>
      </c>
    </row>
    <row r="401" spans="19:24" ht="15.75" customHeight="1" x14ac:dyDescent="0.25">
      <c r="S401" s="14" t="str">
        <f ca="1">IFERROR(__xludf.DUMMYFUNCTION("""COMPUTED_VALUE"""),"")</f>
        <v/>
      </c>
      <c r="T401" s="14" t="e">
        <f ca="1"/>
        <v>#N/A</v>
      </c>
      <c r="U401" s="14" t="e">
        <f ca="1"/>
        <v>#N/A</v>
      </c>
      <c r="V401" s="14" t="e">
        <f ca="1"/>
        <v>#N/A</v>
      </c>
      <c r="W401" s="8" t="e">
        <f ca="1"/>
        <v>#N/A</v>
      </c>
      <c r="X401" s="14" t="e">
        <f ca="1"/>
        <v>#N/A</v>
      </c>
    </row>
    <row r="402" spans="19:24" ht="15.75" customHeight="1" x14ac:dyDescent="0.25">
      <c r="S402" s="14" t="str">
        <f ca="1">IFERROR(__xludf.DUMMYFUNCTION("""COMPUTED_VALUE"""),"")</f>
        <v/>
      </c>
      <c r="T402" s="14" t="e">
        <f ca="1"/>
        <v>#N/A</v>
      </c>
      <c r="U402" s="14" t="e">
        <f ca="1"/>
        <v>#N/A</v>
      </c>
      <c r="V402" s="14" t="e">
        <f ca="1"/>
        <v>#N/A</v>
      </c>
      <c r="W402" s="8" t="e">
        <f ca="1"/>
        <v>#N/A</v>
      </c>
      <c r="X402" s="14" t="e">
        <f ca="1"/>
        <v>#N/A</v>
      </c>
    </row>
    <row r="403" spans="19:24" ht="15.75" customHeight="1" x14ac:dyDescent="0.25">
      <c r="S403" s="14" t="str">
        <f ca="1">IFERROR(__xludf.DUMMYFUNCTION("""COMPUTED_VALUE"""),"")</f>
        <v/>
      </c>
      <c r="T403" s="14" t="e">
        <f ca="1"/>
        <v>#N/A</v>
      </c>
      <c r="U403" s="14" t="e">
        <f ca="1"/>
        <v>#N/A</v>
      </c>
      <c r="V403" s="14" t="e">
        <f ca="1"/>
        <v>#N/A</v>
      </c>
      <c r="W403" s="8" t="e">
        <f ca="1"/>
        <v>#N/A</v>
      </c>
      <c r="X403" s="14" t="e">
        <f ca="1"/>
        <v>#N/A</v>
      </c>
    </row>
    <row r="404" spans="19:24" ht="15.75" customHeight="1" x14ac:dyDescent="0.25">
      <c r="S404" s="14" t="str">
        <f ca="1">IFERROR(__xludf.DUMMYFUNCTION("""COMPUTED_VALUE"""),"")</f>
        <v/>
      </c>
      <c r="T404" s="14" t="e">
        <f ca="1"/>
        <v>#N/A</v>
      </c>
      <c r="U404" s="14" t="e">
        <f ca="1"/>
        <v>#N/A</v>
      </c>
      <c r="V404" s="14" t="e">
        <f ca="1"/>
        <v>#N/A</v>
      </c>
      <c r="W404" s="8" t="e">
        <f ca="1"/>
        <v>#N/A</v>
      </c>
      <c r="X404" s="14" t="e">
        <f ca="1"/>
        <v>#N/A</v>
      </c>
    </row>
    <row r="405" spans="19:24" ht="15.75" customHeight="1" x14ac:dyDescent="0.25">
      <c r="S405" s="14" t="str">
        <f ca="1">IFERROR(__xludf.DUMMYFUNCTION("""COMPUTED_VALUE"""),"")</f>
        <v/>
      </c>
      <c r="T405" s="14" t="e">
        <f ca="1"/>
        <v>#N/A</v>
      </c>
      <c r="U405" s="14" t="e">
        <f ca="1"/>
        <v>#N/A</v>
      </c>
      <c r="V405" s="14" t="e">
        <f ca="1"/>
        <v>#N/A</v>
      </c>
      <c r="W405" s="8" t="e">
        <f ca="1"/>
        <v>#N/A</v>
      </c>
      <c r="X405" s="14" t="e">
        <f ca="1"/>
        <v>#N/A</v>
      </c>
    </row>
    <row r="406" spans="19:24" ht="15.75" customHeight="1" x14ac:dyDescent="0.25">
      <c r="S406" s="14" t="str">
        <f ca="1">IFERROR(__xludf.DUMMYFUNCTION("""COMPUTED_VALUE"""),"")</f>
        <v/>
      </c>
      <c r="T406" s="14" t="e">
        <f ca="1"/>
        <v>#N/A</v>
      </c>
      <c r="U406" s="14" t="e">
        <f ca="1"/>
        <v>#N/A</v>
      </c>
      <c r="V406" s="14" t="e">
        <f ca="1"/>
        <v>#N/A</v>
      </c>
      <c r="W406" s="8" t="e">
        <f ca="1"/>
        <v>#N/A</v>
      </c>
      <c r="X406" s="14" t="e">
        <f ca="1"/>
        <v>#N/A</v>
      </c>
    </row>
    <row r="407" spans="19:24" ht="15.75" customHeight="1" x14ac:dyDescent="0.25">
      <c r="S407" s="14" t="str">
        <f ca="1">IFERROR(__xludf.DUMMYFUNCTION("""COMPUTED_VALUE"""),"")</f>
        <v/>
      </c>
      <c r="T407" s="14" t="e">
        <f ca="1"/>
        <v>#N/A</v>
      </c>
      <c r="U407" s="14" t="e">
        <f ca="1"/>
        <v>#N/A</v>
      </c>
      <c r="V407" s="14" t="e">
        <f ca="1"/>
        <v>#N/A</v>
      </c>
      <c r="W407" s="8" t="e">
        <f ca="1"/>
        <v>#N/A</v>
      </c>
      <c r="X407" s="14" t="e">
        <f ca="1"/>
        <v>#N/A</v>
      </c>
    </row>
    <row r="408" spans="19:24" ht="15.75" customHeight="1" x14ac:dyDescent="0.25">
      <c r="S408" s="14" t="str">
        <f ca="1">IFERROR(__xludf.DUMMYFUNCTION("""COMPUTED_VALUE"""),"")</f>
        <v/>
      </c>
      <c r="T408" s="14" t="e">
        <f ca="1"/>
        <v>#N/A</v>
      </c>
      <c r="U408" s="14" t="e">
        <f ca="1"/>
        <v>#N/A</v>
      </c>
      <c r="V408" s="14" t="e">
        <f ca="1"/>
        <v>#N/A</v>
      </c>
      <c r="W408" s="8" t="e">
        <f ca="1"/>
        <v>#N/A</v>
      </c>
      <c r="X408" s="14" t="e">
        <f ca="1"/>
        <v>#N/A</v>
      </c>
    </row>
    <row r="409" spans="19:24" ht="15.75" customHeight="1" x14ac:dyDescent="0.25">
      <c r="S409" s="14" t="str">
        <f ca="1">IFERROR(__xludf.DUMMYFUNCTION("""COMPUTED_VALUE"""),"")</f>
        <v/>
      </c>
      <c r="T409" s="14" t="e">
        <f ca="1"/>
        <v>#N/A</v>
      </c>
      <c r="U409" s="14" t="e">
        <f ca="1"/>
        <v>#N/A</v>
      </c>
      <c r="V409" s="14" t="e">
        <f ca="1"/>
        <v>#N/A</v>
      </c>
      <c r="W409" s="8" t="e">
        <f ca="1"/>
        <v>#N/A</v>
      </c>
      <c r="X409" s="14" t="e">
        <f ca="1"/>
        <v>#N/A</v>
      </c>
    </row>
    <row r="410" spans="19:24" ht="15.75" customHeight="1" x14ac:dyDescent="0.25">
      <c r="S410" s="14" t="str">
        <f ca="1">IFERROR(__xludf.DUMMYFUNCTION("""COMPUTED_VALUE"""),"")</f>
        <v/>
      </c>
      <c r="T410" s="14" t="e">
        <f ca="1"/>
        <v>#N/A</v>
      </c>
      <c r="U410" s="14" t="e">
        <f ca="1"/>
        <v>#N/A</v>
      </c>
      <c r="V410" s="14" t="e">
        <f ca="1"/>
        <v>#N/A</v>
      </c>
      <c r="W410" s="8" t="e">
        <f ca="1"/>
        <v>#N/A</v>
      </c>
      <c r="X410" s="14" t="e">
        <f ca="1"/>
        <v>#N/A</v>
      </c>
    </row>
    <row r="411" spans="19:24" ht="15.75" customHeight="1" x14ac:dyDescent="0.25">
      <c r="S411" s="14" t="str">
        <f ca="1">IFERROR(__xludf.DUMMYFUNCTION("""COMPUTED_VALUE"""),"")</f>
        <v/>
      </c>
      <c r="T411" s="14" t="e">
        <f ca="1"/>
        <v>#N/A</v>
      </c>
      <c r="U411" s="14" t="e">
        <f ca="1"/>
        <v>#N/A</v>
      </c>
      <c r="V411" s="14" t="e">
        <f ca="1"/>
        <v>#N/A</v>
      </c>
      <c r="W411" s="8" t="e">
        <f ca="1"/>
        <v>#N/A</v>
      </c>
      <c r="X411" s="14" t="e">
        <f ca="1"/>
        <v>#N/A</v>
      </c>
    </row>
    <row r="412" spans="19:24" ht="15.75" customHeight="1" x14ac:dyDescent="0.25">
      <c r="S412" s="14" t="str">
        <f ca="1">IFERROR(__xludf.DUMMYFUNCTION("""COMPUTED_VALUE"""),"")</f>
        <v/>
      </c>
      <c r="T412" s="14" t="e">
        <f ca="1"/>
        <v>#N/A</v>
      </c>
      <c r="U412" s="14" t="e">
        <f ca="1"/>
        <v>#N/A</v>
      </c>
      <c r="V412" s="14" t="e">
        <f ca="1"/>
        <v>#N/A</v>
      </c>
      <c r="W412" s="8" t="e">
        <f ca="1"/>
        <v>#N/A</v>
      </c>
      <c r="X412" s="14" t="e">
        <f ca="1"/>
        <v>#N/A</v>
      </c>
    </row>
    <row r="413" spans="19:24" ht="15.75" customHeight="1" x14ac:dyDescent="0.25">
      <c r="S413" s="14" t="str">
        <f ca="1">IFERROR(__xludf.DUMMYFUNCTION("""COMPUTED_VALUE"""),"")</f>
        <v/>
      </c>
      <c r="T413" s="14" t="e">
        <f ca="1"/>
        <v>#N/A</v>
      </c>
      <c r="U413" s="14" t="e">
        <f ca="1"/>
        <v>#N/A</v>
      </c>
      <c r="V413" s="14" t="e">
        <f ca="1"/>
        <v>#N/A</v>
      </c>
      <c r="W413" s="8" t="e">
        <f ca="1"/>
        <v>#N/A</v>
      </c>
      <c r="X413" s="14" t="e">
        <f ca="1"/>
        <v>#N/A</v>
      </c>
    </row>
    <row r="414" spans="19:24" ht="15.75" customHeight="1" x14ac:dyDescent="0.25">
      <c r="S414" s="14" t="str">
        <f ca="1">IFERROR(__xludf.DUMMYFUNCTION("""COMPUTED_VALUE"""),"")</f>
        <v/>
      </c>
      <c r="T414" s="14" t="e">
        <f ca="1"/>
        <v>#N/A</v>
      </c>
      <c r="U414" s="14" t="e">
        <f ca="1"/>
        <v>#N/A</v>
      </c>
      <c r="V414" s="14" t="e">
        <f ca="1"/>
        <v>#N/A</v>
      </c>
      <c r="W414" s="8" t="e">
        <f ca="1"/>
        <v>#N/A</v>
      </c>
      <c r="X414" s="14" t="e">
        <f ca="1"/>
        <v>#N/A</v>
      </c>
    </row>
    <row r="415" spans="19:24" ht="15.75" customHeight="1" x14ac:dyDescent="0.25">
      <c r="S415" s="14" t="str">
        <f ca="1">IFERROR(__xludf.DUMMYFUNCTION("""COMPUTED_VALUE"""),"")</f>
        <v/>
      </c>
      <c r="T415" s="14" t="e">
        <f ca="1"/>
        <v>#N/A</v>
      </c>
      <c r="U415" s="14" t="e">
        <f ca="1"/>
        <v>#N/A</v>
      </c>
      <c r="V415" s="14" t="e">
        <f ca="1"/>
        <v>#N/A</v>
      </c>
      <c r="W415" s="8" t="e">
        <f ca="1"/>
        <v>#N/A</v>
      </c>
      <c r="X415" s="14" t="e">
        <f ca="1"/>
        <v>#N/A</v>
      </c>
    </row>
    <row r="416" spans="19:24" ht="15.75" customHeight="1" x14ac:dyDescent="0.25">
      <c r="S416" s="14" t="str">
        <f ca="1">IFERROR(__xludf.DUMMYFUNCTION("""COMPUTED_VALUE"""),"")</f>
        <v/>
      </c>
      <c r="T416" s="14" t="e">
        <f ca="1"/>
        <v>#N/A</v>
      </c>
      <c r="U416" s="14" t="e">
        <f ca="1"/>
        <v>#N/A</v>
      </c>
      <c r="V416" s="14" t="e">
        <f ca="1"/>
        <v>#N/A</v>
      </c>
      <c r="W416" s="8" t="e">
        <f ca="1"/>
        <v>#N/A</v>
      </c>
      <c r="X416" s="14" t="e">
        <f ca="1"/>
        <v>#N/A</v>
      </c>
    </row>
    <row r="417" spans="19:24" ht="15.75" customHeight="1" x14ac:dyDescent="0.25">
      <c r="S417" s="14" t="str">
        <f ca="1">IFERROR(__xludf.DUMMYFUNCTION("""COMPUTED_VALUE"""),"")</f>
        <v/>
      </c>
      <c r="T417" s="14" t="e">
        <f ca="1"/>
        <v>#N/A</v>
      </c>
      <c r="U417" s="14" t="e">
        <f ca="1"/>
        <v>#N/A</v>
      </c>
      <c r="V417" s="14" t="e">
        <f ca="1"/>
        <v>#N/A</v>
      </c>
      <c r="W417" s="8" t="e">
        <f ca="1"/>
        <v>#N/A</v>
      </c>
      <c r="X417" s="14" t="e">
        <f ca="1"/>
        <v>#N/A</v>
      </c>
    </row>
    <row r="418" spans="19:24" ht="15.75" customHeight="1" x14ac:dyDescent="0.25">
      <c r="S418" s="14" t="str">
        <f ca="1">IFERROR(__xludf.DUMMYFUNCTION("""COMPUTED_VALUE"""),"")</f>
        <v/>
      </c>
      <c r="T418" s="14" t="e">
        <f ca="1"/>
        <v>#N/A</v>
      </c>
      <c r="U418" s="14" t="e">
        <f ca="1"/>
        <v>#N/A</v>
      </c>
      <c r="V418" s="14" t="e">
        <f ca="1"/>
        <v>#N/A</v>
      </c>
      <c r="W418" s="8" t="e">
        <f ca="1"/>
        <v>#N/A</v>
      </c>
      <c r="X418" s="14" t="e">
        <f ca="1"/>
        <v>#N/A</v>
      </c>
    </row>
    <row r="419" spans="19:24" ht="15.75" customHeight="1" x14ac:dyDescent="0.25">
      <c r="S419" s="14" t="str">
        <f ca="1">IFERROR(__xludf.DUMMYFUNCTION("""COMPUTED_VALUE"""),"")</f>
        <v/>
      </c>
      <c r="T419" s="14" t="e">
        <f ca="1"/>
        <v>#N/A</v>
      </c>
      <c r="U419" s="14" t="e">
        <f ca="1"/>
        <v>#N/A</v>
      </c>
      <c r="V419" s="14" t="e">
        <f ca="1"/>
        <v>#N/A</v>
      </c>
      <c r="W419" s="8" t="e">
        <f ca="1"/>
        <v>#N/A</v>
      </c>
      <c r="X419" s="14" t="e">
        <f ca="1"/>
        <v>#N/A</v>
      </c>
    </row>
    <row r="420" spans="19:24" ht="15.75" customHeight="1" x14ac:dyDescent="0.25">
      <c r="S420" s="14" t="str">
        <f ca="1">IFERROR(__xludf.DUMMYFUNCTION("""COMPUTED_VALUE"""),"")</f>
        <v/>
      </c>
      <c r="T420" s="14" t="e">
        <f ca="1"/>
        <v>#N/A</v>
      </c>
      <c r="U420" s="14" t="e">
        <f ca="1"/>
        <v>#N/A</v>
      </c>
      <c r="V420" s="14" t="e">
        <f ca="1"/>
        <v>#N/A</v>
      </c>
      <c r="W420" s="8" t="e">
        <f ca="1"/>
        <v>#N/A</v>
      </c>
      <c r="X420" s="14" t="e">
        <f ca="1"/>
        <v>#N/A</v>
      </c>
    </row>
    <row r="421" spans="19:24" ht="15.75" customHeight="1" x14ac:dyDescent="0.25">
      <c r="S421" s="14" t="str">
        <f ca="1">IFERROR(__xludf.DUMMYFUNCTION("""COMPUTED_VALUE"""),"")</f>
        <v/>
      </c>
      <c r="T421" s="14" t="e">
        <f ca="1"/>
        <v>#N/A</v>
      </c>
      <c r="U421" s="14" t="e">
        <f ca="1"/>
        <v>#N/A</v>
      </c>
      <c r="V421" s="14" t="e">
        <f ca="1"/>
        <v>#N/A</v>
      </c>
      <c r="W421" s="8" t="e">
        <f ca="1"/>
        <v>#N/A</v>
      </c>
      <c r="X421" s="14" t="e">
        <f ca="1"/>
        <v>#N/A</v>
      </c>
    </row>
    <row r="422" spans="19:24" ht="15.75" customHeight="1" x14ac:dyDescent="0.25">
      <c r="S422" s="14" t="str">
        <f ca="1">IFERROR(__xludf.DUMMYFUNCTION("""COMPUTED_VALUE"""),"")</f>
        <v/>
      </c>
      <c r="T422" s="14" t="e">
        <f ca="1"/>
        <v>#N/A</v>
      </c>
      <c r="U422" s="14" t="e">
        <f ca="1"/>
        <v>#N/A</v>
      </c>
      <c r="V422" s="14" t="e">
        <f ca="1"/>
        <v>#N/A</v>
      </c>
      <c r="W422" s="8" t="e">
        <f ca="1"/>
        <v>#N/A</v>
      </c>
      <c r="X422" s="14" t="e">
        <f ca="1"/>
        <v>#N/A</v>
      </c>
    </row>
    <row r="423" spans="19:24" ht="15.75" customHeight="1" x14ac:dyDescent="0.25">
      <c r="S423" s="14" t="str">
        <f ca="1">IFERROR(__xludf.DUMMYFUNCTION("""COMPUTED_VALUE"""),"")</f>
        <v/>
      </c>
      <c r="T423" s="14" t="e">
        <f ca="1"/>
        <v>#N/A</v>
      </c>
      <c r="U423" s="14" t="e">
        <f ca="1"/>
        <v>#N/A</v>
      </c>
      <c r="V423" s="14" t="e">
        <f ca="1"/>
        <v>#N/A</v>
      </c>
      <c r="W423" s="8" t="e">
        <f ca="1"/>
        <v>#N/A</v>
      </c>
      <c r="X423" s="14" t="e">
        <f ca="1"/>
        <v>#N/A</v>
      </c>
    </row>
    <row r="424" spans="19:24" ht="15.75" customHeight="1" x14ac:dyDescent="0.25">
      <c r="S424" s="14" t="str">
        <f ca="1">IFERROR(__xludf.DUMMYFUNCTION("""COMPUTED_VALUE"""),"")</f>
        <v/>
      </c>
      <c r="T424" s="14" t="e">
        <f ca="1"/>
        <v>#N/A</v>
      </c>
      <c r="U424" s="14" t="e">
        <f ca="1"/>
        <v>#N/A</v>
      </c>
      <c r="V424" s="14" t="e">
        <f ca="1"/>
        <v>#N/A</v>
      </c>
      <c r="W424" s="8" t="e">
        <f ca="1"/>
        <v>#N/A</v>
      </c>
      <c r="X424" s="14" t="e">
        <f ca="1"/>
        <v>#N/A</v>
      </c>
    </row>
    <row r="425" spans="19:24" ht="15.75" customHeight="1" x14ac:dyDescent="0.25">
      <c r="S425" s="14" t="str">
        <f ca="1">IFERROR(__xludf.DUMMYFUNCTION("""COMPUTED_VALUE"""),"")</f>
        <v/>
      </c>
      <c r="T425" s="14" t="e">
        <f ca="1"/>
        <v>#N/A</v>
      </c>
      <c r="U425" s="14" t="e">
        <f ca="1"/>
        <v>#N/A</v>
      </c>
      <c r="V425" s="14" t="e">
        <f ca="1"/>
        <v>#N/A</v>
      </c>
      <c r="W425" s="8" t="e">
        <f ca="1"/>
        <v>#N/A</v>
      </c>
      <c r="X425" s="14" t="e">
        <f ca="1"/>
        <v>#N/A</v>
      </c>
    </row>
    <row r="426" spans="19:24" ht="15.75" customHeight="1" x14ac:dyDescent="0.25">
      <c r="S426" s="14" t="str">
        <f ca="1">IFERROR(__xludf.DUMMYFUNCTION("""COMPUTED_VALUE"""),"")</f>
        <v/>
      </c>
      <c r="T426" s="14" t="e">
        <f ca="1"/>
        <v>#N/A</v>
      </c>
      <c r="U426" s="14" t="e">
        <f ca="1"/>
        <v>#N/A</v>
      </c>
      <c r="V426" s="14" t="e">
        <f ca="1"/>
        <v>#N/A</v>
      </c>
      <c r="W426" s="8" t="e">
        <f ca="1"/>
        <v>#N/A</v>
      </c>
      <c r="X426" s="14" t="e">
        <f ca="1"/>
        <v>#N/A</v>
      </c>
    </row>
    <row r="427" spans="19:24" ht="15.75" customHeight="1" x14ac:dyDescent="0.25">
      <c r="S427" s="14" t="str">
        <f ca="1">IFERROR(__xludf.DUMMYFUNCTION("""COMPUTED_VALUE"""),"")</f>
        <v/>
      </c>
      <c r="T427" s="14" t="e">
        <f ca="1"/>
        <v>#N/A</v>
      </c>
      <c r="U427" s="14" t="e">
        <f ca="1"/>
        <v>#N/A</v>
      </c>
      <c r="V427" s="14" t="e">
        <f ca="1"/>
        <v>#N/A</v>
      </c>
      <c r="W427" s="8" t="e">
        <f ca="1"/>
        <v>#N/A</v>
      </c>
      <c r="X427" s="14" t="e">
        <f ca="1"/>
        <v>#N/A</v>
      </c>
    </row>
    <row r="428" spans="19:24" ht="15.75" customHeight="1" x14ac:dyDescent="0.25">
      <c r="S428" s="14" t="str">
        <f ca="1">IFERROR(__xludf.DUMMYFUNCTION("""COMPUTED_VALUE"""),"")</f>
        <v/>
      </c>
      <c r="T428" s="14" t="e">
        <f ca="1"/>
        <v>#N/A</v>
      </c>
      <c r="U428" s="14" t="e">
        <f ca="1"/>
        <v>#N/A</v>
      </c>
      <c r="V428" s="14" t="e">
        <f ca="1"/>
        <v>#N/A</v>
      </c>
      <c r="W428" s="8" t="e">
        <f ca="1"/>
        <v>#N/A</v>
      </c>
      <c r="X428" s="14" t="e">
        <f ca="1"/>
        <v>#N/A</v>
      </c>
    </row>
    <row r="429" spans="19:24" ht="15.75" customHeight="1" x14ac:dyDescent="0.25">
      <c r="S429" s="14" t="str">
        <f ca="1">IFERROR(__xludf.DUMMYFUNCTION("""COMPUTED_VALUE"""),"")</f>
        <v/>
      </c>
      <c r="T429" s="14" t="e">
        <f ca="1"/>
        <v>#N/A</v>
      </c>
      <c r="U429" s="14" t="e">
        <f ca="1"/>
        <v>#N/A</v>
      </c>
      <c r="V429" s="14" t="e">
        <f ca="1"/>
        <v>#N/A</v>
      </c>
      <c r="W429" s="8" t="e">
        <f ca="1"/>
        <v>#N/A</v>
      </c>
      <c r="X429" s="14" t="e">
        <f ca="1"/>
        <v>#N/A</v>
      </c>
    </row>
    <row r="430" spans="19:24" ht="15.75" customHeight="1" x14ac:dyDescent="0.25">
      <c r="S430" s="14" t="str">
        <f ca="1">IFERROR(__xludf.DUMMYFUNCTION("""COMPUTED_VALUE"""),"")</f>
        <v/>
      </c>
      <c r="T430" s="14" t="e">
        <f ca="1"/>
        <v>#N/A</v>
      </c>
      <c r="U430" s="14" t="e">
        <f ca="1"/>
        <v>#N/A</v>
      </c>
      <c r="V430" s="14" t="e">
        <f ca="1"/>
        <v>#N/A</v>
      </c>
      <c r="W430" s="8" t="e">
        <f ca="1"/>
        <v>#N/A</v>
      </c>
      <c r="X430" s="14" t="e">
        <f ca="1"/>
        <v>#N/A</v>
      </c>
    </row>
    <row r="431" spans="19:24" ht="15.75" customHeight="1" x14ac:dyDescent="0.25">
      <c r="S431" s="14" t="str">
        <f ca="1">IFERROR(__xludf.DUMMYFUNCTION("""COMPUTED_VALUE"""),"")</f>
        <v/>
      </c>
      <c r="T431" s="14" t="e">
        <f ca="1"/>
        <v>#N/A</v>
      </c>
      <c r="U431" s="14" t="e">
        <f ca="1"/>
        <v>#N/A</v>
      </c>
      <c r="V431" s="14" t="e">
        <f ca="1"/>
        <v>#N/A</v>
      </c>
      <c r="W431" s="8" t="e">
        <f ca="1"/>
        <v>#N/A</v>
      </c>
      <c r="X431" s="14" t="e">
        <f ca="1"/>
        <v>#N/A</v>
      </c>
    </row>
    <row r="432" spans="19:24" ht="15.75" customHeight="1" x14ac:dyDescent="0.25">
      <c r="S432" s="14" t="str">
        <f ca="1">IFERROR(__xludf.DUMMYFUNCTION("""COMPUTED_VALUE"""),"")</f>
        <v/>
      </c>
      <c r="T432" s="14" t="e">
        <f ca="1"/>
        <v>#N/A</v>
      </c>
      <c r="U432" s="14" t="e">
        <f ca="1"/>
        <v>#N/A</v>
      </c>
      <c r="V432" s="14" t="e">
        <f ca="1"/>
        <v>#N/A</v>
      </c>
      <c r="W432" s="8" t="e">
        <f ca="1"/>
        <v>#N/A</v>
      </c>
      <c r="X432" s="14" t="e">
        <f ca="1"/>
        <v>#N/A</v>
      </c>
    </row>
    <row r="433" spans="19:24" ht="15.75" customHeight="1" x14ac:dyDescent="0.25">
      <c r="S433" s="14" t="str">
        <f ca="1">IFERROR(__xludf.DUMMYFUNCTION("""COMPUTED_VALUE"""),"")</f>
        <v/>
      </c>
      <c r="T433" s="14" t="e">
        <f ca="1"/>
        <v>#N/A</v>
      </c>
      <c r="U433" s="14" t="e">
        <f ca="1"/>
        <v>#N/A</v>
      </c>
      <c r="V433" s="14" t="e">
        <f ca="1"/>
        <v>#N/A</v>
      </c>
      <c r="W433" s="8" t="e">
        <f ca="1"/>
        <v>#N/A</v>
      </c>
      <c r="X433" s="14" t="e">
        <f ca="1"/>
        <v>#N/A</v>
      </c>
    </row>
    <row r="434" spans="19:24" ht="15.75" customHeight="1" x14ac:dyDescent="0.25">
      <c r="S434" s="14" t="str">
        <f ca="1">IFERROR(__xludf.DUMMYFUNCTION("""COMPUTED_VALUE"""),"")</f>
        <v/>
      </c>
      <c r="T434" s="14" t="e">
        <f ca="1"/>
        <v>#N/A</v>
      </c>
      <c r="U434" s="14" t="e">
        <f ca="1"/>
        <v>#N/A</v>
      </c>
      <c r="V434" s="14" t="e">
        <f ca="1"/>
        <v>#N/A</v>
      </c>
      <c r="W434" s="8" t="e">
        <f ca="1"/>
        <v>#N/A</v>
      </c>
      <c r="X434" s="14" t="e">
        <f ca="1"/>
        <v>#N/A</v>
      </c>
    </row>
    <row r="435" spans="19:24" ht="15.75" customHeight="1" x14ac:dyDescent="0.25">
      <c r="S435" s="14" t="str">
        <f ca="1">IFERROR(__xludf.DUMMYFUNCTION("""COMPUTED_VALUE"""),"")</f>
        <v/>
      </c>
      <c r="T435" s="14" t="e">
        <f ca="1"/>
        <v>#N/A</v>
      </c>
      <c r="U435" s="14" t="e">
        <f ca="1"/>
        <v>#N/A</v>
      </c>
      <c r="V435" s="14" t="e">
        <f ca="1"/>
        <v>#N/A</v>
      </c>
      <c r="W435" s="8" t="e">
        <f ca="1"/>
        <v>#N/A</v>
      </c>
      <c r="X435" s="14" t="e">
        <f ca="1"/>
        <v>#N/A</v>
      </c>
    </row>
    <row r="436" spans="19:24" ht="15.75" customHeight="1" x14ac:dyDescent="0.25">
      <c r="S436" s="14" t="str">
        <f ca="1">IFERROR(__xludf.DUMMYFUNCTION("""COMPUTED_VALUE"""),"")</f>
        <v/>
      </c>
      <c r="T436" s="14" t="e">
        <f ca="1"/>
        <v>#N/A</v>
      </c>
      <c r="U436" s="14" t="e">
        <f ca="1"/>
        <v>#N/A</v>
      </c>
      <c r="V436" s="14" t="e">
        <f ca="1"/>
        <v>#N/A</v>
      </c>
      <c r="W436" s="8" t="e">
        <f ca="1"/>
        <v>#N/A</v>
      </c>
      <c r="X436" s="14" t="e">
        <f ca="1"/>
        <v>#N/A</v>
      </c>
    </row>
    <row r="437" spans="19:24" ht="15.75" customHeight="1" x14ac:dyDescent="0.25">
      <c r="S437" s="14" t="str">
        <f ca="1">IFERROR(__xludf.DUMMYFUNCTION("""COMPUTED_VALUE"""),"")</f>
        <v/>
      </c>
      <c r="T437" s="14" t="e">
        <f ca="1"/>
        <v>#N/A</v>
      </c>
      <c r="U437" s="14" t="e">
        <f ca="1"/>
        <v>#N/A</v>
      </c>
      <c r="V437" s="14" t="e">
        <f ca="1"/>
        <v>#N/A</v>
      </c>
      <c r="W437" s="8" t="e">
        <f ca="1"/>
        <v>#N/A</v>
      </c>
      <c r="X437" s="14" t="e">
        <f ca="1"/>
        <v>#N/A</v>
      </c>
    </row>
    <row r="438" spans="19:24" ht="15.75" customHeight="1" x14ac:dyDescent="0.25">
      <c r="S438" s="14" t="str">
        <f ca="1">IFERROR(__xludf.DUMMYFUNCTION("""COMPUTED_VALUE"""),"")</f>
        <v/>
      </c>
      <c r="T438" s="14" t="e">
        <f ca="1"/>
        <v>#N/A</v>
      </c>
      <c r="U438" s="14" t="e">
        <f ca="1"/>
        <v>#N/A</v>
      </c>
      <c r="V438" s="14" t="e">
        <f ca="1"/>
        <v>#N/A</v>
      </c>
      <c r="W438" s="8" t="e">
        <f ca="1"/>
        <v>#N/A</v>
      </c>
      <c r="X438" s="14" t="e">
        <f ca="1"/>
        <v>#N/A</v>
      </c>
    </row>
    <row r="439" spans="19:24" ht="15.75" customHeight="1" x14ac:dyDescent="0.25">
      <c r="S439" s="14" t="str">
        <f ca="1">IFERROR(__xludf.DUMMYFUNCTION("""COMPUTED_VALUE"""),"")</f>
        <v/>
      </c>
      <c r="T439" s="14" t="e">
        <f ca="1"/>
        <v>#N/A</v>
      </c>
      <c r="U439" s="14" t="e">
        <f ca="1"/>
        <v>#N/A</v>
      </c>
      <c r="V439" s="14" t="e">
        <f ca="1"/>
        <v>#N/A</v>
      </c>
      <c r="W439" s="8" t="e">
        <f ca="1"/>
        <v>#N/A</v>
      </c>
      <c r="X439" s="14" t="e">
        <f ca="1"/>
        <v>#N/A</v>
      </c>
    </row>
    <row r="440" spans="19:24" ht="15.75" customHeight="1" x14ac:dyDescent="0.25">
      <c r="S440" s="14" t="str">
        <f ca="1">IFERROR(__xludf.DUMMYFUNCTION("""COMPUTED_VALUE"""),"")</f>
        <v/>
      </c>
      <c r="T440" s="14" t="e">
        <f ca="1"/>
        <v>#N/A</v>
      </c>
      <c r="U440" s="14" t="e">
        <f ca="1"/>
        <v>#N/A</v>
      </c>
      <c r="V440" s="14" t="e">
        <f ca="1"/>
        <v>#N/A</v>
      </c>
      <c r="W440" s="8" t="e">
        <f ca="1"/>
        <v>#N/A</v>
      </c>
      <c r="X440" s="14" t="e">
        <f ca="1"/>
        <v>#N/A</v>
      </c>
    </row>
    <row r="441" spans="19:24" ht="15.75" customHeight="1" x14ac:dyDescent="0.25">
      <c r="S441" s="14" t="str">
        <f ca="1">IFERROR(__xludf.DUMMYFUNCTION("""COMPUTED_VALUE"""),"")</f>
        <v/>
      </c>
      <c r="T441" s="14" t="e">
        <f ca="1"/>
        <v>#N/A</v>
      </c>
      <c r="U441" s="14" t="e">
        <f ca="1"/>
        <v>#N/A</v>
      </c>
      <c r="V441" s="14" t="e">
        <f ca="1"/>
        <v>#N/A</v>
      </c>
      <c r="W441" s="8" t="e">
        <f ca="1"/>
        <v>#N/A</v>
      </c>
      <c r="X441" s="14" t="e">
        <f ca="1"/>
        <v>#N/A</v>
      </c>
    </row>
    <row r="442" spans="19:24" ht="15.75" customHeight="1" x14ac:dyDescent="0.25">
      <c r="S442" s="14" t="str">
        <f ca="1">IFERROR(__xludf.DUMMYFUNCTION("""COMPUTED_VALUE"""),"")</f>
        <v/>
      </c>
      <c r="T442" s="14" t="e">
        <f ca="1"/>
        <v>#N/A</v>
      </c>
      <c r="U442" s="14" t="e">
        <f ca="1"/>
        <v>#N/A</v>
      </c>
      <c r="V442" s="14" t="e">
        <f ca="1"/>
        <v>#N/A</v>
      </c>
      <c r="W442" s="8" t="e">
        <f ca="1"/>
        <v>#N/A</v>
      </c>
      <c r="X442" s="14" t="e">
        <f ca="1"/>
        <v>#N/A</v>
      </c>
    </row>
    <row r="443" spans="19:24" ht="15.75" customHeight="1" x14ac:dyDescent="0.25">
      <c r="S443" s="14" t="str">
        <f ca="1">IFERROR(__xludf.DUMMYFUNCTION("""COMPUTED_VALUE"""),"")</f>
        <v/>
      </c>
      <c r="T443" s="14" t="e">
        <f ca="1"/>
        <v>#N/A</v>
      </c>
      <c r="U443" s="14" t="e">
        <f ca="1"/>
        <v>#N/A</v>
      </c>
      <c r="V443" s="14" t="e">
        <f ca="1"/>
        <v>#N/A</v>
      </c>
      <c r="W443" s="8" t="e">
        <f ca="1"/>
        <v>#N/A</v>
      </c>
      <c r="X443" s="14" t="e">
        <f ca="1"/>
        <v>#N/A</v>
      </c>
    </row>
    <row r="444" spans="19:24" ht="15.75" customHeight="1" x14ac:dyDescent="0.25">
      <c r="S444" s="14" t="str">
        <f ca="1">IFERROR(__xludf.DUMMYFUNCTION("""COMPUTED_VALUE"""),"")</f>
        <v/>
      </c>
      <c r="T444" s="14" t="e">
        <f ca="1"/>
        <v>#N/A</v>
      </c>
      <c r="U444" s="14" t="e">
        <f ca="1"/>
        <v>#N/A</v>
      </c>
      <c r="V444" s="14" t="e">
        <f ca="1"/>
        <v>#N/A</v>
      </c>
      <c r="W444" s="8" t="e">
        <f ca="1"/>
        <v>#N/A</v>
      </c>
      <c r="X444" s="14" t="e">
        <f ca="1"/>
        <v>#N/A</v>
      </c>
    </row>
    <row r="445" spans="19:24" ht="15.75" customHeight="1" x14ac:dyDescent="0.25">
      <c r="S445" s="14" t="str">
        <f ca="1">IFERROR(__xludf.DUMMYFUNCTION("""COMPUTED_VALUE"""),"")</f>
        <v/>
      </c>
      <c r="T445" s="14" t="e">
        <f ca="1"/>
        <v>#N/A</v>
      </c>
      <c r="U445" s="14" t="e">
        <f ca="1"/>
        <v>#N/A</v>
      </c>
      <c r="V445" s="14" t="e">
        <f ca="1"/>
        <v>#N/A</v>
      </c>
      <c r="W445" s="8" t="e">
        <f ca="1"/>
        <v>#N/A</v>
      </c>
      <c r="X445" s="14" t="e">
        <f ca="1"/>
        <v>#N/A</v>
      </c>
    </row>
    <row r="446" spans="19:24" ht="15.75" customHeight="1" x14ac:dyDescent="0.25">
      <c r="S446" s="14" t="str">
        <f ca="1">IFERROR(__xludf.DUMMYFUNCTION("""COMPUTED_VALUE"""),"")</f>
        <v/>
      </c>
      <c r="T446" s="14" t="e">
        <f ca="1"/>
        <v>#N/A</v>
      </c>
      <c r="U446" s="14" t="e">
        <f ca="1"/>
        <v>#N/A</v>
      </c>
      <c r="V446" s="14" t="e">
        <f ca="1"/>
        <v>#N/A</v>
      </c>
      <c r="W446" s="8" t="e">
        <f ca="1"/>
        <v>#N/A</v>
      </c>
      <c r="X446" s="14" t="e">
        <f ca="1"/>
        <v>#N/A</v>
      </c>
    </row>
    <row r="447" spans="19:24" ht="15.75" customHeight="1" x14ac:dyDescent="0.25">
      <c r="S447" s="14" t="str">
        <f ca="1">IFERROR(__xludf.DUMMYFUNCTION("""COMPUTED_VALUE"""),"")</f>
        <v/>
      </c>
      <c r="T447" s="14" t="e">
        <f ca="1"/>
        <v>#N/A</v>
      </c>
      <c r="U447" s="14" t="e">
        <f ca="1"/>
        <v>#N/A</v>
      </c>
      <c r="V447" s="14" t="e">
        <f ca="1"/>
        <v>#N/A</v>
      </c>
      <c r="W447" s="8" t="e">
        <f ca="1"/>
        <v>#N/A</v>
      </c>
      <c r="X447" s="14" t="e">
        <f ca="1"/>
        <v>#N/A</v>
      </c>
    </row>
    <row r="448" spans="19:24" ht="15.75" customHeight="1" x14ac:dyDescent="0.25">
      <c r="S448" s="14" t="str">
        <f ca="1">IFERROR(__xludf.DUMMYFUNCTION("""COMPUTED_VALUE"""),"")</f>
        <v/>
      </c>
      <c r="T448" s="14" t="e">
        <f ca="1"/>
        <v>#N/A</v>
      </c>
      <c r="U448" s="14" t="e">
        <f ca="1"/>
        <v>#N/A</v>
      </c>
      <c r="V448" s="14" t="e">
        <f ca="1"/>
        <v>#N/A</v>
      </c>
      <c r="W448" s="8" t="e">
        <f ca="1"/>
        <v>#N/A</v>
      </c>
      <c r="X448" s="14" t="e">
        <f ca="1"/>
        <v>#N/A</v>
      </c>
    </row>
    <row r="449" spans="19:24" ht="15.75" customHeight="1" x14ac:dyDescent="0.25">
      <c r="S449" s="14" t="str">
        <f ca="1">IFERROR(__xludf.DUMMYFUNCTION("""COMPUTED_VALUE"""),"")</f>
        <v/>
      </c>
      <c r="T449" s="14" t="e">
        <f ca="1"/>
        <v>#N/A</v>
      </c>
      <c r="U449" s="14" t="e">
        <f ca="1"/>
        <v>#N/A</v>
      </c>
      <c r="V449" s="14" t="e">
        <f ca="1"/>
        <v>#N/A</v>
      </c>
      <c r="W449" s="8" t="e">
        <f ca="1"/>
        <v>#N/A</v>
      </c>
      <c r="X449" s="14" t="e">
        <f ca="1"/>
        <v>#N/A</v>
      </c>
    </row>
    <row r="450" spans="19:24" ht="15.75" customHeight="1" x14ac:dyDescent="0.25">
      <c r="S450" s="14" t="str">
        <f ca="1">IFERROR(__xludf.DUMMYFUNCTION("""COMPUTED_VALUE"""),"")</f>
        <v/>
      </c>
      <c r="T450" s="14" t="e">
        <f ca="1"/>
        <v>#N/A</v>
      </c>
      <c r="U450" s="14" t="e">
        <f ca="1"/>
        <v>#N/A</v>
      </c>
      <c r="V450" s="14" t="e">
        <f ca="1"/>
        <v>#N/A</v>
      </c>
      <c r="W450" s="8" t="e">
        <f ca="1"/>
        <v>#N/A</v>
      </c>
      <c r="X450" s="14" t="e">
        <f ca="1"/>
        <v>#N/A</v>
      </c>
    </row>
    <row r="451" spans="19:24" ht="15.75" customHeight="1" x14ac:dyDescent="0.25">
      <c r="S451" s="14" t="str">
        <f ca="1">IFERROR(__xludf.DUMMYFUNCTION("""COMPUTED_VALUE"""),"")</f>
        <v/>
      </c>
      <c r="T451" s="14" t="e">
        <f ca="1"/>
        <v>#N/A</v>
      </c>
      <c r="U451" s="14" t="e">
        <f ca="1"/>
        <v>#N/A</v>
      </c>
      <c r="V451" s="14" t="e">
        <f ca="1"/>
        <v>#N/A</v>
      </c>
      <c r="W451" s="8" t="e">
        <f ca="1"/>
        <v>#N/A</v>
      </c>
      <c r="X451" s="14" t="e">
        <f ca="1"/>
        <v>#N/A</v>
      </c>
    </row>
    <row r="452" spans="19:24" ht="15.75" customHeight="1" x14ac:dyDescent="0.25">
      <c r="S452" s="14" t="str">
        <f ca="1">IFERROR(__xludf.DUMMYFUNCTION("""COMPUTED_VALUE"""),"")</f>
        <v/>
      </c>
      <c r="T452" s="14" t="e">
        <f ca="1"/>
        <v>#N/A</v>
      </c>
      <c r="U452" s="14" t="e">
        <f ca="1"/>
        <v>#N/A</v>
      </c>
      <c r="V452" s="14" t="e">
        <f ca="1"/>
        <v>#N/A</v>
      </c>
      <c r="W452" s="8" t="e">
        <f ca="1"/>
        <v>#N/A</v>
      </c>
      <c r="X452" s="14" t="e">
        <f ca="1"/>
        <v>#N/A</v>
      </c>
    </row>
    <row r="453" spans="19:24" ht="15.75" customHeight="1" x14ac:dyDescent="0.25">
      <c r="S453" s="14" t="str">
        <f ca="1">IFERROR(__xludf.DUMMYFUNCTION("""COMPUTED_VALUE"""),"")</f>
        <v/>
      </c>
      <c r="T453" s="14" t="e">
        <f ca="1"/>
        <v>#N/A</v>
      </c>
      <c r="U453" s="14" t="e">
        <f ca="1"/>
        <v>#N/A</v>
      </c>
      <c r="V453" s="14" t="e">
        <f ca="1"/>
        <v>#N/A</v>
      </c>
      <c r="W453" s="8" t="e">
        <f ca="1"/>
        <v>#N/A</v>
      </c>
      <c r="X453" s="14" t="e">
        <f ca="1"/>
        <v>#N/A</v>
      </c>
    </row>
    <row r="454" spans="19:24" ht="15.75" customHeight="1" x14ac:dyDescent="0.25">
      <c r="S454" s="14" t="str">
        <f ca="1">IFERROR(__xludf.DUMMYFUNCTION("""COMPUTED_VALUE"""),"")</f>
        <v/>
      </c>
      <c r="T454" s="14" t="e">
        <f ca="1"/>
        <v>#N/A</v>
      </c>
      <c r="U454" s="14" t="e">
        <f ca="1"/>
        <v>#N/A</v>
      </c>
      <c r="V454" s="14" t="e">
        <f ca="1"/>
        <v>#N/A</v>
      </c>
      <c r="W454" s="8" t="e">
        <f ca="1"/>
        <v>#N/A</v>
      </c>
      <c r="X454" s="14" t="e">
        <f ca="1"/>
        <v>#N/A</v>
      </c>
    </row>
    <row r="455" spans="19:24" ht="15.75" customHeight="1" x14ac:dyDescent="0.25">
      <c r="S455" s="14" t="str">
        <f ca="1">IFERROR(__xludf.DUMMYFUNCTION("""COMPUTED_VALUE"""),"")</f>
        <v/>
      </c>
      <c r="T455" s="14" t="e">
        <f ca="1"/>
        <v>#N/A</v>
      </c>
      <c r="U455" s="14" t="e">
        <f ca="1"/>
        <v>#N/A</v>
      </c>
      <c r="V455" s="14" t="e">
        <f ca="1"/>
        <v>#N/A</v>
      </c>
      <c r="W455" s="8" t="e">
        <f ca="1"/>
        <v>#N/A</v>
      </c>
      <c r="X455" s="14" t="e">
        <f ca="1"/>
        <v>#N/A</v>
      </c>
    </row>
    <row r="456" spans="19:24" ht="15.75" customHeight="1" x14ac:dyDescent="0.25">
      <c r="S456" s="14" t="str">
        <f ca="1">IFERROR(__xludf.DUMMYFUNCTION("""COMPUTED_VALUE"""),"")</f>
        <v/>
      </c>
      <c r="T456" s="14" t="e">
        <f ca="1"/>
        <v>#N/A</v>
      </c>
      <c r="U456" s="14" t="e">
        <f ca="1"/>
        <v>#N/A</v>
      </c>
      <c r="V456" s="14" t="e">
        <f ca="1"/>
        <v>#N/A</v>
      </c>
      <c r="W456" s="8" t="e">
        <f ca="1"/>
        <v>#N/A</v>
      </c>
      <c r="X456" s="14" t="e">
        <f ca="1"/>
        <v>#N/A</v>
      </c>
    </row>
    <row r="457" spans="19:24" ht="15.75" customHeight="1" x14ac:dyDescent="0.25">
      <c r="S457" s="14" t="str">
        <f ca="1">IFERROR(__xludf.DUMMYFUNCTION("""COMPUTED_VALUE"""),"")</f>
        <v/>
      </c>
      <c r="T457" s="14" t="e">
        <f ca="1"/>
        <v>#N/A</v>
      </c>
      <c r="U457" s="14" t="e">
        <f ca="1"/>
        <v>#N/A</v>
      </c>
      <c r="V457" s="14" t="e">
        <f ca="1"/>
        <v>#N/A</v>
      </c>
      <c r="W457" s="8" t="e">
        <f ca="1"/>
        <v>#N/A</v>
      </c>
      <c r="X457" s="14" t="e">
        <f ca="1"/>
        <v>#N/A</v>
      </c>
    </row>
    <row r="458" spans="19:24" ht="15.75" customHeight="1" x14ac:dyDescent="0.25">
      <c r="S458" s="14" t="str">
        <f ca="1">IFERROR(__xludf.DUMMYFUNCTION("""COMPUTED_VALUE"""),"")</f>
        <v/>
      </c>
      <c r="T458" s="14" t="e">
        <f ca="1"/>
        <v>#N/A</v>
      </c>
      <c r="U458" s="14" t="e">
        <f ca="1"/>
        <v>#N/A</v>
      </c>
      <c r="V458" s="14" t="e">
        <f ca="1"/>
        <v>#N/A</v>
      </c>
      <c r="W458" s="8" t="e">
        <f ca="1"/>
        <v>#N/A</v>
      </c>
      <c r="X458" s="14" t="e">
        <f ca="1"/>
        <v>#N/A</v>
      </c>
    </row>
    <row r="459" spans="19:24" ht="15.75" customHeight="1" x14ac:dyDescent="0.25">
      <c r="S459" s="14" t="str">
        <f ca="1">IFERROR(__xludf.DUMMYFUNCTION("""COMPUTED_VALUE"""),"")</f>
        <v/>
      </c>
      <c r="T459" s="14" t="e">
        <f ca="1"/>
        <v>#N/A</v>
      </c>
      <c r="U459" s="14" t="e">
        <f ca="1"/>
        <v>#N/A</v>
      </c>
      <c r="V459" s="14" t="e">
        <f ca="1"/>
        <v>#N/A</v>
      </c>
      <c r="W459" s="8" t="e">
        <f ca="1"/>
        <v>#N/A</v>
      </c>
      <c r="X459" s="14" t="e">
        <f ca="1"/>
        <v>#N/A</v>
      </c>
    </row>
    <row r="460" spans="19:24" ht="15.75" customHeight="1" x14ac:dyDescent="0.25">
      <c r="S460" s="14" t="str">
        <f ca="1">IFERROR(__xludf.DUMMYFUNCTION("""COMPUTED_VALUE"""),"")</f>
        <v/>
      </c>
      <c r="T460" s="14" t="e">
        <f ca="1"/>
        <v>#N/A</v>
      </c>
      <c r="U460" s="14" t="e">
        <f ca="1"/>
        <v>#N/A</v>
      </c>
      <c r="V460" s="14" t="e">
        <f ca="1"/>
        <v>#N/A</v>
      </c>
      <c r="W460" s="8" t="e">
        <f ca="1"/>
        <v>#N/A</v>
      </c>
      <c r="X460" s="14" t="e">
        <f ca="1"/>
        <v>#N/A</v>
      </c>
    </row>
    <row r="461" spans="19:24" ht="15.75" customHeight="1" x14ac:dyDescent="0.25">
      <c r="S461" s="14" t="str">
        <f ca="1">IFERROR(__xludf.DUMMYFUNCTION("""COMPUTED_VALUE"""),"")</f>
        <v/>
      </c>
      <c r="T461" s="14" t="e">
        <f ca="1"/>
        <v>#N/A</v>
      </c>
      <c r="U461" s="14" t="e">
        <f ca="1"/>
        <v>#N/A</v>
      </c>
      <c r="V461" s="14" t="e">
        <f ca="1"/>
        <v>#N/A</v>
      </c>
      <c r="W461" s="8" t="e">
        <f ca="1"/>
        <v>#N/A</v>
      </c>
      <c r="X461" s="14" t="e">
        <f ca="1"/>
        <v>#N/A</v>
      </c>
    </row>
    <row r="462" spans="19:24" ht="15.75" customHeight="1" x14ac:dyDescent="0.25">
      <c r="S462" s="14" t="str">
        <f ca="1">IFERROR(__xludf.DUMMYFUNCTION("""COMPUTED_VALUE"""),"")</f>
        <v/>
      </c>
      <c r="T462" s="14" t="e">
        <f ca="1"/>
        <v>#N/A</v>
      </c>
      <c r="U462" s="14" t="e">
        <f ca="1"/>
        <v>#N/A</v>
      </c>
      <c r="V462" s="14" t="e">
        <f ca="1"/>
        <v>#N/A</v>
      </c>
      <c r="W462" s="8" t="e">
        <f ca="1"/>
        <v>#N/A</v>
      </c>
      <c r="X462" s="14" t="e">
        <f ca="1"/>
        <v>#N/A</v>
      </c>
    </row>
    <row r="463" spans="19:24" ht="15.75" customHeight="1" x14ac:dyDescent="0.25">
      <c r="S463" s="14" t="str">
        <f ca="1">IFERROR(__xludf.DUMMYFUNCTION("""COMPUTED_VALUE"""),"")</f>
        <v/>
      </c>
      <c r="T463" s="14" t="e">
        <f ca="1"/>
        <v>#N/A</v>
      </c>
      <c r="U463" s="14" t="e">
        <f ca="1"/>
        <v>#N/A</v>
      </c>
      <c r="V463" s="14" t="e">
        <f ca="1"/>
        <v>#N/A</v>
      </c>
      <c r="W463" s="8" t="e">
        <f ca="1"/>
        <v>#N/A</v>
      </c>
      <c r="X463" s="14" t="e">
        <f ca="1"/>
        <v>#N/A</v>
      </c>
    </row>
    <row r="464" spans="19:24" ht="15.75" customHeight="1" x14ac:dyDescent="0.25">
      <c r="S464" s="14" t="str">
        <f ca="1">IFERROR(__xludf.DUMMYFUNCTION("""COMPUTED_VALUE"""),"")</f>
        <v/>
      </c>
      <c r="T464" s="14" t="e">
        <f ca="1"/>
        <v>#N/A</v>
      </c>
      <c r="U464" s="14" t="e">
        <f ca="1"/>
        <v>#N/A</v>
      </c>
      <c r="V464" s="14" t="e">
        <f ca="1"/>
        <v>#N/A</v>
      </c>
      <c r="W464" s="8" t="e">
        <f ca="1"/>
        <v>#N/A</v>
      </c>
      <c r="X464" s="14" t="e">
        <f ca="1"/>
        <v>#N/A</v>
      </c>
    </row>
    <row r="465" spans="19:24" ht="15.75" customHeight="1" x14ac:dyDescent="0.25">
      <c r="S465" s="14" t="str">
        <f ca="1">IFERROR(__xludf.DUMMYFUNCTION("""COMPUTED_VALUE"""),"")</f>
        <v/>
      </c>
      <c r="T465" s="14" t="e">
        <f ca="1"/>
        <v>#N/A</v>
      </c>
      <c r="U465" s="14" t="e">
        <f ca="1"/>
        <v>#N/A</v>
      </c>
      <c r="V465" s="14" t="e">
        <f ca="1"/>
        <v>#N/A</v>
      </c>
      <c r="W465" s="8" t="e">
        <f ca="1"/>
        <v>#N/A</v>
      </c>
      <c r="X465" s="14" t="e">
        <f ca="1"/>
        <v>#N/A</v>
      </c>
    </row>
    <row r="466" spans="19:24" ht="15.75" customHeight="1" x14ac:dyDescent="0.25">
      <c r="S466" s="14" t="str">
        <f ca="1">IFERROR(__xludf.DUMMYFUNCTION("""COMPUTED_VALUE"""),"")</f>
        <v/>
      </c>
      <c r="T466" s="14" t="e">
        <f ca="1"/>
        <v>#N/A</v>
      </c>
      <c r="U466" s="14" t="e">
        <f ca="1"/>
        <v>#N/A</v>
      </c>
      <c r="V466" s="14" t="e">
        <f ca="1"/>
        <v>#N/A</v>
      </c>
      <c r="W466" s="8" t="e">
        <f ca="1"/>
        <v>#N/A</v>
      </c>
      <c r="X466" s="14" t="e">
        <f ca="1"/>
        <v>#N/A</v>
      </c>
    </row>
    <row r="467" spans="19:24" ht="15.75" customHeight="1" x14ac:dyDescent="0.25">
      <c r="S467" s="14" t="str">
        <f ca="1">IFERROR(__xludf.DUMMYFUNCTION("""COMPUTED_VALUE"""),"")</f>
        <v/>
      </c>
      <c r="T467" s="14" t="e">
        <f ca="1"/>
        <v>#N/A</v>
      </c>
      <c r="U467" s="14" t="e">
        <f ca="1"/>
        <v>#N/A</v>
      </c>
      <c r="V467" s="14" t="e">
        <f ca="1"/>
        <v>#N/A</v>
      </c>
      <c r="W467" s="8" t="e">
        <f ca="1"/>
        <v>#N/A</v>
      </c>
      <c r="X467" s="14" t="e">
        <f ca="1"/>
        <v>#N/A</v>
      </c>
    </row>
    <row r="468" spans="19:24" ht="15.75" customHeight="1" x14ac:dyDescent="0.25">
      <c r="S468" s="14" t="str">
        <f ca="1">IFERROR(__xludf.DUMMYFUNCTION("""COMPUTED_VALUE"""),"")</f>
        <v/>
      </c>
      <c r="T468" s="14" t="e">
        <f ca="1"/>
        <v>#N/A</v>
      </c>
      <c r="U468" s="14" t="e">
        <f ca="1"/>
        <v>#N/A</v>
      </c>
      <c r="V468" s="14" t="e">
        <f ca="1"/>
        <v>#N/A</v>
      </c>
      <c r="W468" s="8" t="e">
        <f ca="1"/>
        <v>#N/A</v>
      </c>
      <c r="X468" s="14" t="e">
        <f ca="1"/>
        <v>#N/A</v>
      </c>
    </row>
    <row r="469" spans="19:24" ht="15.75" customHeight="1" x14ac:dyDescent="0.25">
      <c r="S469" s="14" t="str">
        <f ca="1">IFERROR(__xludf.DUMMYFUNCTION("""COMPUTED_VALUE"""),"")</f>
        <v/>
      </c>
      <c r="T469" s="14" t="e">
        <f ca="1"/>
        <v>#N/A</v>
      </c>
      <c r="U469" s="14" t="e">
        <f ca="1"/>
        <v>#N/A</v>
      </c>
      <c r="V469" s="14" t="e">
        <f ca="1"/>
        <v>#N/A</v>
      </c>
      <c r="W469" s="8" t="e">
        <f ca="1"/>
        <v>#N/A</v>
      </c>
      <c r="X469" s="14" t="e">
        <f ca="1"/>
        <v>#N/A</v>
      </c>
    </row>
    <row r="470" spans="19:24" ht="15.75" customHeight="1" x14ac:dyDescent="0.25">
      <c r="S470" s="14" t="str">
        <f ca="1">IFERROR(__xludf.DUMMYFUNCTION("""COMPUTED_VALUE"""),"")</f>
        <v/>
      </c>
      <c r="T470" s="14" t="e">
        <f ca="1"/>
        <v>#N/A</v>
      </c>
      <c r="U470" s="14" t="e">
        <f ca="1"/>
        <v>#N/A</v>
      </c>
      <c r="V470" s="14" t="e">
        <f ca="1"/>
        <v>#N/A</v>
      </c>
      <c r="W470" s="8" t="e">
        <f ca="1"/>
        <v>#N/A</v>
      </c>
      <c r="X470" s="14" t="e">
        <f ca="1"/>
        <v>#N/A</v>
      </c>
    </row>
    <row r="471" spans="19:24" ht="15.75" customHeight="1" x14ac:dyDescent="0.25">
      <c r="S471" s="14" t="str">
        <f ca="1">IFERROR(__xludf.DUMMYFUNCTION("""COMPUTED_VALUE"""),"")</f>
        <v/>
      </c>
      <c r="T471" s="14" t="e">
        <f ca="1"/>
        <v>#N/A</v>
      </c>
      <c r="U471" s="14" t="e">
        <f ca="1"/>
        <v>#N/A</v>
      </c>
      <c r="V471" s="14" t="e">
        <f ca="1"/>
        <v>#N/A</v>
      </c>
      <c r="W471" s="8" t="e">
        <f ca="1"/>
        <v>#N/A</v>
      </c>
      <c r="X471" s="14" t="e">
        <f ca="1"/>
        <v>#N/A</v>
      </c>
    </row>
    <row r="472" spans="19:24" ht="15.75" customHeight="1" x14ac:dyDescent="0.25">
      <c r="S472" s="14" t="str">
        <f ca="1">IFERROR(__xludf.DUMMYFUNCTION("""COMPUTED_VALUE"""),"")</f>
        <v/>
      </c>
      <c r="T472" s="14" t="e">
        <f ca="1"/>
        <v>#N/A</v>
      </c>
      <c r="U472" s="14" t="e">
        <f ca="1"/>
        <v>#N/A</v>
      </c>
      <c r="V472" s="14" t="e">
        <f ca="1"/>
        <v>#N/A</v>
      </c>
      <c r="W472" s="8" t="e">
        <f ca="1"/>
        <v>#N/A</v>
      </c>
      <c r="X472" s="14" t="e">
        <f ca="1"/>
        <v>#N/A</v>
      </c>
    </row>
    <row r="473" spans="19:24" ht="15.75" customHeight="1" x14ac:dyDescent="0.25">
      <c r="S473" s="14" t="str">
        <f ca="1">IFERROR(__xludf.DUMMYFUNCTION("""COMPUTED_VALUE"""),"")</f>
        <v/>
      </c>
      <c r="T473" s="14" t="e">
        <f ca="1"/>
        <v>#N/A</v>
      </c>
      <c r="U473" s="14" t="e">
        <f ca="1"/>
        <v>#N/A</v>
      </c>
      <c r="V473" s="14" t="e">
        <f ca="1"/>
        <v>#N/A</v>
      </c>
      <c r="W473" s="8" t="e">
        <f ca="1"/>
        <v>#N/A</v>
      </c>
      <c r="X473" s="14" t="e">
        <f ca="1"/>
        <v>#N/A</v>
      </c>
    </row>
    <row r="474" spans="19:24" ht="15.75" customHeight="1" x14ac:dyDescent="0.25">
      <c r="S474" s="14" t="str">
        <f ca="1">IFERROR(__xludf.DUMMYFUNCTION("""COMPUTED_VALUE"""),"")</f>
        <v/>
      </c>
      <c r="T474" s="14" t="e">
        <f ca="1"/>
        <v>#N/A</v>
      </c>
      <c r="U474" s="14" t="e">
        <f ca="1"/>
        <v>#N/A</v>
      </c>
      <c r="V474" s="14" t="e">
        <f ca="1"/>
        <v>#N/A</v>
      </c>
      <c r="W474" s="8" t="e">
        <f ca="1"/>
        <v>#N/A</v>
      </c>
      <c r="X474" s="14" t="e">
        <f ca="1"/>
        <v>#N/A</v>
      </c>
    </row>
    <row r="475" spans="19:24" ht="15.75" customHeight="1" x14ac:dyDescent="0.25">
      <c r="S475" s="14" t="str">
        <f ca="1">IFERROR(__xludf.DUMMYFUNCTION("""COMPUTED_VALUE"""),"")</f>
        <v/>
      </c>
      <c r="T475" s="14" t="e">
        <f ca="1"/>
        <v>#N/A</v>
      </c>
      <c r="U475" s="14" t="e">
        <f ca="1"/>
        <v>#N/A</v>
      </c>
      <c r="V475" s="14" t="e">
        <f ca="1"/>
        <v>#N/A</v>
      </c>
      <c r="W475" s="8" t="e">
        <f ca="1"/>
        <v>#N/A</v>
      </c>
      <c r="X475" s="14" t="e">
        <f ca="1"/>
        <v>#N/A</v>
      </c>
    </row>
    <row r="476" spans="19:24" ht="15.75" customHeight="1" x14ac:dyDescent="0.25">
      <c r="S476" s="14" t="str">
        <f ca="1">IFERROR(__xludf.DUMMYFUNCTION("""COMPUTED_VALUE"""),"")</f>
        <v/>
      </c>
      <c r="T476" s="14" t="e">
        <f ca="1"/>
        <v>#N/A</v>
      </c>
      <c r="U476" s="14" t="e">
        <f ca="1"/>
        <v>#N/A</v>
      </c>
      <c r="V476" s="14" t="e">
        <f ca="1"/>
        <v>#N/A</v>
      </c>
      <c r="W476" s="8" t="e">
        <f ca="1"/>
        <v>#N/A</v>
      </c>
      <c r="X476" s="14" t="e">
        <f ca="1"/>
        <v>#N/A</v>
      </c>
    </row>
    <row r="477" spans="19:24" ht="15.75" customHeight="1" x14ac:dyDescent="0.25">
      <c r="S477" s="14" t="str">
        <f ca="1">IFERROR(__xludf.DUMMYFUNCTION("""COMPUTED_VALUE"""),"")</f>
        <v/>
      </c>
      <c r="T477" s="14" t="e">
        <f ca="1"/>
        <v>#N/A</v>
      </c>
      <c r="U477" s="14" t="e">
        <f ca="1"/>
        <v>#N/A</v>
      </c>
      <c r="V477" s="14" t="e">
        <f ca="1"/>
        <v>#N/A</v>
      </c>
      <c r="W477" s="8" t="e">
        <f ca="1"/>
        <v>#N/A</v>
      </c>
      <c r="X477" s="14" t="e">
        <f ca="1"/>
        <v>#N/A</v>
      </c>
    </row>
    <row r="478" spans="19:24" ht="15.75" customHeight="1" x14ac:dyDescent="0.25">
      <c r="S478" s="14" t="str">
        <f ca="1">IFERROR(__xludf.DUMMYFUNCTION("""COMPUTED_VALUE"""),"")</f>
        <v/>
      </c>
      <c r="T478" s="14" t="e">
        <f ca="1"/>
        <v>#N/A</v>
      </c>
      <c r="U478" s="14" t="e">
        <f ca="1"/>
        <v>#N/A</v>
      </c>
      <c r="V478" s="14" t="e">
        <f ca="1"/>
        <v>#N/A</v>
      </c>
      <c r="W478" s="8" t="e">
        <f ca="1"/>
        <v>#N/A</v>
      </c>
      <c r="X478" s="14" t="e">
        <f ca="1"/>
        <v>#N/A</v>
      </c>
    </row>
    <row r="479" spans="19:24" ht="15.75" customHeight="1" x14ac:dyDescent="0.25">
      <c r="S479" s="14" t="str">
        <f ca="1">IFERROR(__xludf.DUMMYFUNCTION("""COMPUTED_VALUE"""),"")</f>
        <v/>
      </c>
      <c r="T479" s="14" t="e">
        <f ca="1"/>
        <v>#N/A</v>
      </c>
      <c r="U479" s="14" t="e">
        <f ca="1"/>
        <v>#N/A</v>
      </c>
      <c r="V479" s="14" t="e">
        <f ca="1"/>
        <v>#N/A</v>
      </c>
      <c r="W479" s="8" t="e">
        <f ca="1"/>
        <v>#N/A</v>
      </c>
      <c r="X479" s="14" t="e">
        <f ca="1"/>
        <v>#N/A</v>
      </c>
    </row>
    <row r="480" spans="19:24" ht="15.75" customHeight="1" x14ac:dyDescent="0.25">
      <c r="S480" s="14" t="str">
        <f ca="1">IFERROR(__xludf.DUMMYFUNCTION("""COMPUTED_VALUE"""),"")</f>
        <v/>
      </c>
      <c r="T480" s="14" t="e">
        <f ca="1"/>
        <v>#N/A</v>
      </c>
      <c r="U480" s="14" t="e">
        <f ca="1"/>
        <v>#N/A</v>
      </c>
      <c r="V480" s="14" t="e">
        <f ca="1"/>
        <v>#N/A</v>
      </c>
      <c r="W480" s="8" t="e">
        <f ca="1"/>
        <v>#N/A</v>
      </c>
      <c r="X480" s="14" t="e">
        <f ca="1"/>
        <v>#N/A</v>
      </c>
    </row>
    <row r="481" spans="19:24" ht="15.75" customHeight="1" x14ac:dyDescent="0.25">
      <c r="S481" s="14" t="str">
        <f ca="1">IFERROR(__xludf.DUMMYFUNCTION("""COMPUTED_VALUE"""),"")</f>
        <v/>
      </c>
      <c r="T481" s="14" t="e">
        <f ca="1"/>
        <v>#N/A</v>
      </c>
      <c r="U481" s="14" t="e">
        <f ca="1"/>
        <v>#N/A</v>
      </c>
      <c r="V481" s="14" t="e">
        <f ca="1"/>
        <v>#N/A</v>
      </c>
      <c r="W481" s="8" t="e">
        <f ca="1"/>
        <v>#N/A</v>
      </c>
      <c r="X481" s="14" t="e">
        <f ca="1"/>
        <v>#N/A</v>
      </c>
    </row>
    <row r="482" spans="19:24" ht="15.75" customHeight="1" x14ac:dyDescent="0.25">
      <c r="S482" s="14" t="str">
        <f ca="1">IFERROR(__xludf.DUMMYFUNCTION("""COMPUTED_VALUE"""),"")</f>
        <v/>
      </c>
      <c r="T482" s="14" t="e">
        <f ca="1"/>
        <v>#N/A</v>
      </c>
      <c r="U482" s="14" t="e">
        <f ca="1"/>
        <v>#N/A</v>
      </c>
      <c r="V482" s="14" t="e">
        <f ca="1"/>
        <v>#N/A</v>
      </c>
      <c r="W482" s="8" t="e">
        <f ca="1"/>
        <v>#N/A</v>
      </c>
      <c r="X482" s="14" t="e">
        <f ca="1"/>
        <v>#N/A</v>
      </c>
    </row>
    <row r="483" spans="19:24" ht="15.75" customHeight="1" x14ac:dyDescent="0.25">
      <c r="S483" s="14" t="str">
        <f ca="1">IFERROR(__xludf.DUMMYFUNCTION("""COMPUTED_VALUE"""),"")</f>
        <v/>
      </c>
      <c r="T483" s="14" t="e">
        <f ca="1"/>
        <v>#N/A</v>
      </c>
      <c r="U483" s="14" t="e">
        <f ca="1"/>
        <v>#N/A</v>
      </c>
      <c r="V483" s="14" t="e">
        <f ca="1"/>
        <v>#N/A</v>
      </c>
      <c r="W483" s="8" t="e">
        <f ca="1"/>
        <v>#N/A</v>
      </c>
      <c r="X483" s="14" t="e">
        <f ca="1"/>
        <v>#N/A</v>
      </c>
    </row>
    <row r="484" spans="19:24" ht="15.75" customHeight="1" x14ac:dyDescent="0.25">
      <c r="S484" s="14" t="str">
        <f ca="1">IFERROR(__xludf.DUMMYFUNCTION("""COMPUTED_VALUE"""),"")</f>
        <v/>
      </c>
      <c r="T484" s="14" t="e">
        <f ca="1"/>
        <v>#N/A</v>
      </c>
      <c r="U484" s="14" t="e">
        <f ca="1"/>
        <v>#N/A</v>
      </c>
      <c r="V484" s="14" t="e">
        <f ca="1"/>
        <v>#N/A</v>
      </c>
      <c r="W484" s="8" t="e">
        <f ca="1"/>
        <v>#N/A</v>
      </c>
      <c r="X484" s="14" t="e">
        <f ca="1"/>
        <v>#N/A</v>
      </c>
    </row>
    <row r="485" spans="19:24" ht="15.75" customHeight="1" x14ac:dyDescent="0.25">
      <c r="S485" s="14" t="str">
        <f ca="1">IFERROR(__xludf.DUMMYFUNCTION("""COMPUTED_VALUE"""),"")</f>
        <v/>
      </c>
      <c r="T485" s="14" t="e">
        <f ca="1"/>
        <v>#N/A</v>
      </c>
      <c r="U485" s="14" t="e">
        <f ca="1"/>
        <v>#N/A</v>
      </c>
      <c r="V485" s="14" t="e">
        <f ca="1"/>
        <v>#N/A</v>
      </c>
      <c r="W485" s="8" t="e">
        <f ca="1"/>
        <v>#N/A</v>
      </c>
      <c r="X485" s="14" t="e">
        <f ca="1"/>
        <v>#N/A</v>
      </c>
    </row>
    <row r="486" spans="19:24" ht="15.75" customHeight="1" x14ac:dyDescent="0.25">
      <c r="S486" s="14" t="str">
        <f ca="1">IFERROR(__xludf.DUMMYFUNCTION("""COMPUTED_VALUE"""),"")</f>
        <v/>
      </c>
      <c r="T486" s="14" t="e">
        <f ca="1"/>
        <v>#N/A</v>
      </c>
      <c r="U486" s="14" t="e">
        <f ca="1"/>
        <v>#N/A</v>
      </c>
      <c r="V486" s="14" t="e">
        <f ca="1"/>
        <v>#N/A</v>
      </c>
      <c r="W486" s="8" t="e">
        <f ca="1"/>
        <v>#N/A</v>
      </c>
      <c r="X486" s="14" t="e">
        <f ca="1"/>
        <v>#N/A</v>
      </c>
    </row>
    <row r="487" spans="19:24" ht="15.75" customHeight="1" x14ac:dyDescent="0.25">
      <c r="S487" s="14" t="str">
        <f ca="1">IFERROR(__xludf.DUMMYFUNCTION("""COMPUTED_VALUE"""),"")</f>
        <v/>
      </c>
      <c r="T487" s="14" t="e">
        <f ca="1"/>
        <v>#N/A</v>
      </c>
      <c r="U487" s="14" t="e">
        <f ca="1"/>
        <v>#N/A</v>
      </c>
      <c r="V487" s="14" t="e">
        <f ca="1"/>
        <v>#N/A</v>
      </c>
      <c r="W487" s="8" t="e">
        <f ca="1"/>
        <v>#N/A</v>
      </c>
      <c r="X487" s="14" t="e">
        <f ca="1"/>
        <v>#N/A</v>
      </c>
    </row>
    <row r="488" spans="19:24" ht="15.75" customHeight="1" x14ac:dyDescent="0.25">
      <c r="S488" s="14" t="str">
        <f ca="1">IFERROR(__xludf.DUMMYFUNCTION("""COMPUTED_VALUE"""),"")</f>
        <v/>
      </c>
      <c r="T488" s="14" t="e">
        <f ca="1"/>
        <v>#N/A</v>
      </c>
      <c r="U488" s="14" t="e">
        <f ca="1"/>
        <v>#N/A</v>
      </c>
      <c r="V488" s="14" t="e">
        <f ca="1"/>
        <v>#N/A</v>
      </c>
      <c r="W488" s="8" t="e">
        <f ca="1"/>
        <v>#N/A</v>
      </c>
      <c r="X488" s="14" t="e">
        <f ca="1"/>
        <v>#N/A</v>
      </c>
    </row>
    <row r="489" spans="19:24" ht="15.75" customHeight="1" x14ac:dyDescent="0.25">
      <c r="S489" s="14" t="str">
        <f ca="1">IFERROR(__xludf.DUMMYFUNCTION("""COMPUTED_VALUE"""),"")</f>
        <v/>
      </c>
      <c r="T489" s="14" t="e">
        <f ca="1"/>
        <v>#N/A</v>
      </c>
      <c r="U489" s="14" t="e">
        <f ca="1"/>
        <v>#N/A</v>
      </c>
      <c r="V489" s="14" t="e">
        <f ca="1"/>
        <v>#N/A</v>
      </c>
      <c r="W489" s="8" t="e">
        <f ca="1"/>
        <v>#N/A</v>
      </c>
      <c r="X489" s="14" t="e">
        <f ca="1"/>
        <v>#N/A</v>
      </c>
    </row>
    <row r="490" spans="19:24" ht="15.75" customHeight="1" x14ac:dyDescent="0.25">
      <c r="S490" s="14" t="str">
        <f ca="1">IFERROR(__xludf.DUMMYFUNCTION("""COMPUTED_VALUE"""),"")</f>
        <v/>
      </c>
      <c r="T490" s="14" t="e">
        <f ca="1"/>
        <v>#N/A</v>
      </c>
      <c r="U490" s="14" t="e">
        <f ca="1"/>
        <v>#N/A</v>
      </c>
      <c r="V490" s="14" t="e">
        <f ca="1"/>
        <v>#N/A</v>
      </c>
      <c r="W490" s="8" t="e">
        <f ca="1"/>
        <v>#N/A</v>
      </c>
      <c r="X490" s="14" t="e">
        <f ca="1"/>
        <v>#N/A</v>
      </c>
    </row>
    <row r="491" spans="19:24" ht="15.75" customHeight="1" x14ac:dyDescent="0.25">
      <c r="S491" s="14" t="str">
        <f ca="1">IFERROR(__xludf.DUMMYFUNCTION("""COMPUTED_VALUE"""),"")</f>
        <v/>
      </c>
      <c r="T491" s="14" t="e">
        <f ca="1"/>
        <v>#N/A</v>
      </c>
      <c r="U491" s="14" t="e">
        <f ca="1"/>
        <v>#N/A</v>
      </c>
      <c r="V491" s="14" t="e">
        <f ca="1"/>
        <v>#N/A</v>
      </c>
      <c r="W491" s="8" t="e">
        <f ca="1"/>
        <v>#N/A</v>
      </c>
      <c r="X491" s="14" t="e">
        <f ca="1"/>
        <v>#N/A</v>
      </c>
    </row>
    <row r="492" spans="19:24" ht="15.75" customHeight="1" x14ac:dyDescent="0.25">
      <c r="S492" s="14" t="str">
        <f ca="1">IFERROR(__xludf.DUMMYFUNCTION("""COMPUTED_VALUE"""),"")</f>
        <v/>
      </c>
      <c r="T492" s="14" t="e">
        <f ca="1"/>
        <v>#N/A</v>
      </c>
      <c r="U492" s="14" t="e">
        <f ca="1"/>
        <v>#N/A</v>
      </c>
      <c r="V492" s="14" t="e">
        <f ca="1"/>
        <v>#N/A</v>
      </c>
      <c r="W492" s="8" t="e">
        <f ca="1"/>
        <v>#N/A</v>
      </c>
      <c r="X492" s="14" t="e">
        <f ca="1"/>
        <v>#N/A</v>
      </c>
    </row>
    <row r="493" spans="19:24" ht="15.75" customHeight="1" x14ac:dyDescent="0.25">
      <c r="S493" s="14" t="str">
        <f ca="1">IFERROR(__xludf.DUMMYFUNCTION("""COMPUTED_VALUE"""),"")</f>
        <v/>
      </c>
      <c r="T493" s="14" t="e">
        <f ca="1"/>
        <v>#N/A</v>
      </c>
      <c r="U493" s="14" t="e">
        <f ca="1"/>
        <v>#N/A</v>
      </c>
      <c r="V493" s="14" t="e">
        <f ca="1"/>
        <v>#N/A</v>
      </c>
      <c r="W493" s="8" t="e">
        <f ca="1"/>
        <v>#N/A</v>
      </c>
      <c r="X493" s="14" t="e">
        <f ca="1"/>
        <v>#N/A</v>
      </c>
    </row>
    <row r="494" spans="19:24" ht="15.75" customHeight="1" x14ac:dyDescent="0.25">
      <c r="S494" s="14" t="str">
        <f ca="1">IFERROR(__xludf.DUMMYFUNCTION("""COMPUTED_VALUE"""),"")</f>
        <v/>
      </c>
      <c r="T494" s="14" t="e">
        <f ca="1"/>
        <v>#N/A</v>
      </c>
      <c r="U494" s="14" t="e">
        <f ca="1"/>
        <v>#N/A</v>
      </c>
      <c r="V494" s="14" t="e">
        <f ca="1"/>
        <v>#N/A</v>
      </c>
      <c r="W494" s="8" t="e">
        <f ca="1"/>
        <v>#N/A</v>
      </c>
      <c r="X494" s="14" t="e">
        <f ca="1"/>
        <v>#N/A</v>
      </c>
    </row>
    <row r="495" spans="19:24" ht="15.75" customHeight="1" x14ac:dyDescent="0.25">
      <c r="S495" s="14" t="str">
        <f ca="1">IFERROR(__xludf.DUMMYFUNCTION("""COMPUTED_VALUE"""),"")</f>
        <v/>
      </c>
      <c r="T495" s="14" t="e">
        <f ca="1"/>
        <v>#N/A</v>
      </c>
      <c r="U495" s="14" t="e">
        <f ca="1"/>
        <v>#N/A</v>
      </c>
      <c r="V495" s="14" t="e">
        <f ca="1"/>
        <v>#N/A</v>
      </c>
      <c r="W495" s="8" t="e">
        <f ca="1"/>
        <v>#N/A</v>
      </c>
      <c r="X495" s="14" t="e">
        <f ca="1"/>
        <v>#N/A</v>
      </c>
    </row>
    <row r="496" spans="19:24" ht="15.75" customHeight="1" x14ac:dyDescent="0.25">
      <c r="S496" s="14" t="str">
        <f ca="1">IFERROR(__xludf.DUMMYFUNCTION("""COMPUTED_VALUE"""),"")</f>
        <v/>
      </c>
      <c r="T496" s="14" t="e">
        <f ca="1"/>
        <v>#N/A</v>
      </c>
      <c r="U496" s="14" t="e">
        <f ca="1"/>
        <v>#N/A</v>
      </c>
      <c r="V496" s="14" t="e">
        <f ca="1"/>
        <v>#N/A</v>
      </c>
      <c r="W496" s="8" t="e">
        <f ca="1"/>
        <v>#N/A</v>
      </c>
      <c r="X496" s="14" t="e">
        <f ca="1"/>
        <v>#N/A</v>
      </c>
    </row>
    <row r="497" spans="19:24" ht="15.75" customHeight="1" x14ac:dyDescent="0.25">
      <c r="S497" s="14" t="str">
        <f ca="1">IFERROR(__xludf.DUMMYFUNCTION("""COMPUTED_VALUE"""),"")</f>
        <v/>
      </c>
      <c r="T497" s="14" t="e">
        <f ca="1"/>
        <v>#N/A</v>
      </c>
      <c r="U497" s="14" t="e">
        <f ca="1"/>
        <v>#N/A</v>
      </c>
      <c r="V497" s="14" t="e">
        <f ca="1"/>
        <v>#N/A</v>
      </c>
      <c r="W497" s="8" t="e">
        <f ca="1"/>
        <v>#N/A</v>
      </c>
      <c r="X497" s="14" t="e">
        <f ca="1"/>
        <v>#N/A</v>
      </c>
    </row>
    <row r="498" spans="19:24" ht="15.75" customHeight="1" x14ac:dyDescent="0.25">
      <c r="S498" s="14" t="str">
        <f ca="1">IFERROR(__xludf.DUMMYFUNCTION("""COMPUTED_VALUE"""),"")</f>
        <v/>
      </c>
      <c r="T498" s="14" t="e">
        <f ca="1"/>
        <v>#N/A</v>
      </c>
      <c r="U498" s="14" t="e">
        <f ca="1"/>
        <v>#N/A</v>
      </c>
      <c r="V498" s="14" t="e">
        <f ca="1"/>
        <v>#N/A</v>
      </c>
      <c r="W498" s="8" t="e">
        <f ca="1"/>
        <v>#N/A</v>
      </c>
      <c r="X498" s="14" t="e">
        <f ca="1"/>
        <v>#N/A</v>
      </c>
    </row>
    <row r="499" spans="19:24" ht="15.75" customHeight="1" x14ac:dyDescent="0.25">
      <c r="S499" s="14" t="str">
        <f ca="1">IFERROR(__xludf.DUMMYFUNCTION("""COMPUTED_VALUE"""),"")</f>
        <v/>
      </c>
      <c r="T499" s="14" t="e">
        <f ca="1"/>
        <v>#N/A</v>
      </c>
      <c r="U499" s="14" t="e">
        <f ca="1"/>
        <v>#N/A</v>
      </c>
      <c r="V499" s="14" t="e">
        <f ca="1"/>
        <v>#N/A</v>
      </c>
      <c r="W499" s="8" t="e">
        <f ca="1"/>
        <v>#N/A</v>
      </c>
      <c r="X499" s="14" t="e">
        <f ca="1"/>
        <v>#N/A</v>
      </c>
    </row>
    <row r="500" spans="19:24" ht="15.75" customHeight="1" x14ac:dyDescent="0.25">
      <c r="S500" s="14" t="str">
        <f ca="1">IFERROR(__xludf.DUMMYFUNCTION("""COMPUTED_VALUE"""),"")</f>
        <v/>
      </c>
      <c r="T500" s="14" t="e">
        <f ca="1"/>
        <v>#N/A</v>
      </c>
      <c r="U500" s="14" t="e">
        <f ca="1"/>
        <v>#N/A</v>
      </c>
      <c r="V500" s="14" t="e">
        <f ca="1"/>
        <v>#N/A</v>
      </c>
      <c r="W500" s="8" t="e">
        <f ca="1"/>
        <v>#N/A</v>
      </c>
      <c r="X500" s="14" t="e">
        <f ca="1"/>
        <v>#N/A</v>
      </c>
    </row>
    <row r="501" spans="19:24" ht="15.75" customHeight="1" x14ac:dyDescent="0.25">
      <c r="S501" s="14" t="str">
        <f ca="1">IFERROR(__xludf.DUMMYFUNCTION("""COMPUTED_VALUE"""),"")</f>
        <v/>
      </c>
      <c r="T501" s="14" t="e">
        <f ca="1"/>
        <v>#N/A</v>
      </c>
      <c r="U501" s="14" t="e">
        <f ca="1"/>
        <v>#N/A</v>
      </c>
      <c r="V501" s="14" t="e">
        <f ca="1"/>
        <v>#N/A</v>
      </c>
      <c r="W501" s="8" t="e">
        <f ca="1"/>
        <v>#N/A</v>
      </c>
      <c r="X501" s="14" t="e">
        <f ca="1"/>
        <v>#N/A</v>
      </c>
    </row>
    <row r="502" spans="19:24" ht="15.75" customHeight="1" x14ac:dyDescent="0.25">
      <c r="S502" s="14" t="str">
        <f ca="1">IFERROR(__xludf.DUMMYFUNCTION("""COMPUTED_VALUE"""),"")</f>
        <v/>
      </c>
      <c r="T502" s="14" t="e">
        <f ca="1"/>
        <v>#N/A</v>
      </c>
      <c r="U502" s="14" t="e">
        <f ca="1"/>
        <v>#N/A</v>
      </c>
      <c r="V502" s="14" t="e">
        <f ca="1"/>
        <v>#N/A</v>
      </c>
      <c r="W502" s="8" t="e">
        <f ca="1"/>
        <v>#N/A</v>
      </c>
      <c r="X502" s="14" t="e">
        <f ca="1"/>
        <v>#N/A</v>
      </c>
    </row>
    <row r="503" spans="19:24" ht="15.75" customHeight="1" x14ac:dyDescent="0.25">
      <c r="S503" s="14" t="str">
        <f ca="1">IFERROR(__xludf.DUMMYFUNCTION("""COMPUTED_VALUE"""),"")</f>
        <v/>
      </c>
      <c r="T503" s="14" t="e">
        <f ca="1"/>
        <v>#N/A</v>
      </c>
      <c r="U503" s="14" t="e">
        <f ca="1"/>
        <v>#N/A</v>
      </c>
      <c r="V503" s="14" t="e">
        <f ca="1"/>
        <v>#N/A</v>
      </c>
      <c r="W503" s="8" t="e">
        <f ca="1"/>
        <v>#N/A</v>
      </c>
      <c r="X503" s="14" t="e">
        <f ca="1"/>
        <v>#N/A</v>
      </c>
    </row>
    <row r="504" spans="19:24" ht="15.75" customHeight="1" x14ac:dyDescent="0.25">
      <c r="S504" s="14" t="str">
        <f ca="1">IFERROR(__xludf.DUMMYFUNCTION("""COMPUTED_VALUE"""),"")</f>
        <v/>
      </c>
      <c r="T504" s="14" t="e">
        <f ca="1"/>
        <v>#N/A</v>
      </c>
      <c r="U504" s="14" t="e">
        <f ca="1"/>
        <v>#N/A</v>
      </c>
      <c r="V504" s="14" t="e">
        <f ca="1"/>
        <v>#N/A</v>
      </c>
      <c r="W504" s="8" t="e">
        <f ca="1"/>
        <v>#N/A</v>
      </c>
      <c r="X504" s="14" t="e">
        <f ca="1"/>
        <v>#N/A</v>
      </c>
    </row>
    <row r="505" spans="19:24" ht="15.75" customHeight="1" x14ac:dyDescent="0.25">
      <c r="S505" s="14" t="str">
        <f ca="1">IFERROR(__xludf.DUMMYFUNCTION("""COMPUTED_VALUE"""),"")</f>
        <v/>
      </c>
      <c r="T505" s="14" t="e">
        <f ca="1"/>
        <v>#N/A</v>
      </c>
      <c r="U505" s="14" t="e">
        <f ca="1"/>
        <v>#N/A</v>
      </c>
      <c r="V505" s="14" t="e">
        <f ca="1"/>
        <v>#N/A</v>
      </c>
      <c r="W505" s="8" t="e">
        <f ca="1"/>
        <v>#N/A</v>
      </c>
      <c r="X505" s="14" t="e">
        <f ca="1"/>
        <v>#N/A</v>
      </c>
    </row>
    <row r="506" spans="19:24" ht="15.75" customHeight="1" x14ac:dyDescent="0.25">
      <c r="S506" s="14" t="str">
        <f ca="1">IFERROR(__xludf.DUMMYFUNCTION("""COMPUTED_VALUE"""),"")</f>
        <v/>
      </c>
      <c r="T506" s="14" t="e">
        <f ca="1"/>
        <v>#N/A</v>
      </c>
      <c r="U506" s="14" t="e">
        <f ca="1"/>
        <v>#N/A</v>
      </c>
      <c r="V506" s="14" t="e">
        <f ca="1"/>
        <v>#N/A</v>
      </c>
      <c r="W506" s="8" t="e">
        <f ca="1"/>
        <v>#N/A</v>
      </c>
      <c r="X506" s="14" t="e">
        <f ca="1"/>
        <v>#N/A</v>
      </c>
    </row>
    <row r="507" spans="19:24" ht="15.75" customHeight="1" x14ac:dyDescent="0.25">
      <c r="S507" s="14" t="str">
        <f ca="1">IFERROR(__xludf.DUMMYFUNCTION("""COMPUTED_VALUE"""),"")</f>
        <v/>
      </c>
      <c r="T507" s="14" t="e">
        <f ca="1"/>
        <v>#N/A</v>
      </c>
      <c r="U507" s="14" t="e">
        <f ca="1"/>
        <v>#N/A</v>
      </c>
      <c r="V507" s="14" t="e">
        <f ca="1"/>
        <v>#N/A</v>
      </c>
      <c r="W507" s="8" t="e">
        <f ca="1"/>
        <v>#N/A</v>
      </c>
      <c r="X507" s="14" t="e">
        <f ca="1"/>
        <v>#N/A</v>
      </c>
    </row>
    <row r="508" spans="19:24" ht="15.75" customHeight="1" x14ac:dyDescent="0.25">
      <c r="S508" s="14" t="str">
        <f ca="1">IFERROR(__xludf.DUMMYFUNCTION("""COMPUTED_VALUE"""),"")</f>
        <v/>
      </c>
      <c r="T508" s="14" t="e">
        <f ca="1"/>
        <v>#N/A</v>
      </c>
      <c r="U508" s="14" t="e">
        <f ca="1"/>
        <v>#N/A</v>
      </c>
      <c r="V508" s="14" t="e">
        <f ca="1"/>
        <v>#N/A</v>
      </c>
      <c r="W508" s="8" t="e">
        <f ca="1"/>
        <v>#N/A</v>
      </c>
      <c r="X508" s="14" t="e">
        <f ca="1"/>
        <v>#N/A</v>
      </c>
    </row>
    <row r="509" spans="19:24" ht="15.75" customHeight="1" x14ac:dyDescent="0.25">
      <c r="S509" s="14" t="str">
        <f ca="1">IFERROR(__xludf.DUMMYFUNCTION("""COMPUTED_VALUE"""),"")</f>
        <v/>
      </c>
      <c r="T509" s="14" t="e">
        <f ca="1"/>
        <v>#N/A</v>
      </c>
      <c r="U509" s="14" t="e">
        <f ca="1"/>
        <v>#N/A</v>
      </c>
      <c r="V509" s="14" t="e">
        <f ca="1"/>
        <v>#N/A</v>
      </c>
      <c r="W509" s="8" t="e">
        <f ca="1"/>
        <v>#N/A</v>
      </c>
      <c r="X509" s="14" t="e">
        <f ca="1"/>
        <v>#N/A</v>
      </c>
    </row>
    <row r="510" spans="19:24" ht="15.75" customHeight="1" x14ac:dyDescent="0.25">
      <c r="S510" s="14" t="str">
        <f ca="1">IFERROR(__xludf.DUMMYFUNCTION("""COMPUTED_VALUE"""),"")</f>
        <v/>
      </c>
      <c r="T510" s="14" t="e">
        <f ca="1"/>
        <v>#N/A</v>
      </c>
      <c r="U510" s="14" t="e">
        <f ca="1"/>
        <v>#N/A</v>
      </c>
      <c r="V510" s="14" t="e">
        <f ca="1"/>
        <v>#N/A</v>
      </c>
      <c r="W510" s="8" t="e">
        <f ca="1"/>
        <v>#N/A</v>
      </c>
      <c r="X510" s="14" t="e">
        <f ca="1"/>
        <v>#N/A</v>
      </c>
    </row>
    <row r="511" spans="19:24" ht="15.75" customHeight="1" x14ac:dyDescent="0.25">
      <c r="S511" s="14" t="str">
        <f ca="1">IFERROR(__xludf.DUMMYFUNCTION("""COMPUTED_VALUE"""),"")</f>
        <v/>
      </c>
      <c r="T511" s="14" t="e">
        <f ca="1"/>
        <v>#N/A</v>
      </c>
      <c r="U511" s="14" t="e">
        <f ca="1"/>
        <v>#N/A</v>
      </c>
      <c r="V511" s="14" t="e">
        <f ca="1"/>
        <v>#N/A</v>
      </c>
      <c r="W511" s="8" t="e">
        <f ca="1"/>
        <v>#N/A</v>
      </c>
      <c r="X511" s="14" t="e">
        <f ca="1"/>
        <v>#N/A</v>
      </c>
    </row>
    <row r="512" spans="19:24" ht="15.75" customHeight="1" x14ac:dyDescent="0.25">
      <c r="S512" s="14" t="str">
        <f ca="1">IFERROR(__xludf.DUMMYFUNCTION("""COMPUTED_VALUE"""),"")</f>
        <v/>
      </c>
      <c r="T512" s="14" t="e">
        <f ca="1"/>
        <v>#N/A</v>
      </c>
      <c r="U512" s="14" t="e">
        <f ca="1"/>
        <v>#N/A</v>
      </c>
      <c r="V512" s="14" t="e">
        <f ca="1"/>
        <v>#N/A</v>
      </c>
      <c r="W512" s="8" t="e">
        <f ca="1"/>
        <v>#N/A</v>
      </c>
      <c r="X512" s="14" t="e">
        <f ca="1"/>
        <v>#N/A</v>
      </c>
    </row>
    <row r="513" spans="19:24" ht="15.75" customHeight="1" x14ac:dyDescent="0.25">
      <c r="S513" s="14" t="str">
        <f ca="1">IFERROR(__xludf.DUMMYFUNCTION("""COMPUTED_VALUE"""),"")</f>
        <v/>
      </c>
      <c r="T513" s="14" t="e">
        <f ca="1"/>
        <v>#N/A</v>
      </c>
      <c r="U513" s="14" t="e">
        <f ca="1"/>
        <v>#N/A</v>
      </c>
      <c r="V513" s="14" t="e">
        <f ca="1"/>
        <v>#N/A</v>
      </c>
      <c r="W513" s="8" t="e">
        <f ca="1"/>
        <v>#N/A</v>
      </c>
      <c r="X513" s="14" t="e">
        <f ca="1"/>
        <v>#N/A</v>
      </c>
    </row>
    <row r="514" spans="19:24" ht="15.75" customHeight="1" x14ac:dyDescent="0.25">
      <c r="S514" s="14" t="str">
        <f ca="1">IFERROR(__xludf.DUMMYFUNCTION("""COMPUTED_VALUE"""),"")</f>
        <v/>
      </c>
      <c r="T514" s="14" t="e">
        <f ca="1"/>
        <v>#N/A</v>
      </c>
      <c r="U514" s="14" t="e">
        <f ca="1"/>
        <v>#N/A</v>
      </c>
      <c r="V514" s="14" t="e">
        <f ca="1"/>
        <v>#N/A</v>
      </c>
      <c r="W514" s="8" t="e">
        <f ca="1"/>
        <v>#N/A</v>
      </c>
      <c r="X514" s="14" t="e">
        <f ca="1"/>
        <v>#N/A</v>
      </c>
    </row>
    <row r="515" spans="19:24" ht="15.75" customHeight="1" x14ac:dyDescent="0.25">
      <c r="S515" s="14" t="str">
        <f ca="1">IFERROR(__xludf.DUMMYFUNCTION("""COMPUTED_VALUE"""),"")</f>
        <v/>
      </c>
      <c r="T515" s="14" t="e">
        <f ca="1"/>
        <v>#N/A</v>
      </c>
      <c r="U515" s="14" t="e">
        <f ca="1"/>
        <v>#N/A</v>
      </c>
      <c r="V515" s="14" t="e">
        <f ca="1"/>
        <v>#N/A</v>
      </c>
      <c r="W515" s="8" t="e">
        <f ca="1"/>
        <v>#N/A</v>
      </c>
      <c r="X515" s="14" t="e">
        <f ca="1"/>
        <v>#N/A</v>
      </c>
    </row>
    <row r="516" spans="19:24" ht="15.75" customHeight="1" x14ac:dyDescent="0.25">
      <c r="S516" s="14" t="str">
        <f ca="1">IFERROR(__xludf.DUMMYFUNCTION("""COMPUTED_VALUE"""),"")</f>
        <v/>
      </c>
      <c r="T516" s="14" t="e">
        <f ca="1"/>
        <v>#N/A</v>
      </c>
      <c r="U516" s="14" t="e">
        <f ca="1"/>
        <v>#N/A</v>
      </c>
      <c r="V516" s="14" t="e">
        <f ca="1"/>
        <v>#N/A</v>
      </c>
      <c r="W516" s="8" t="e">
        <f ca="1"/>
        <v>#N/A</v>
      </c>
      <c r="X516" s="14" t="e">
        <f ca="1"/>
        <v>#N/A</v>
      </c>
    </row>
    <row r="517" spans="19:24" ht="15.75" customHeight="1" x14ac:dyDescent="0.25">
      <c r="S517" s="14" t="str">
        <f ca="1">IFERROR(__xludf.DUMMYFUNCTION("""COMPUTED_VALUE"""),"")</f>
        <v/>
      </c>
      <c r="T517" s="14" t="e">
        <f ca="1"/>
        <v>#N/A</v>
      </c>
      <c r="U517" s="14" t="e">
        <f ca="1"/>
        <v>#N/A</v>
      </c>
      <c r="V517" s="14" t="e">
        <f ca="1"/>
        <v>#N/A</v>
      </c>
      <c r="W517" s="8" t="e">
        <f ca="1"/>
        <v>#N/A</v>
      </c>
      <c r="X517" s="14" t="e">
        <f ca="1"/>
        <v>#N/A</v>
      </c>
    </row>
    <row r="518" spans="19:24" ht="15.75" customHeight="1" x14ac:dyDescent="0.25">
      <c r="S518" s="14" t="str">
        <f ca="1">IFERROR(__xludf.DUMMYFUNCTION("""COMPUTED_VALUE"""),"")</f>
        <v/>
      </c>
      <c r="T518" s="14" t="e">
        <f ca="1"/>
        <v>#N/A</v>
      </c>
      <c r="U518" s="14" t="e">
        <f ca="1"/>
        <v>#N/A</v>
      </c>
      <c r="V518" s="14" t="e">
        <f ca="1"/>
        <v>#N/A</v>
      </c>
      <c r="W518" s="8" t="e">
        <f ca="1"/>
        <v>#N/A</v>
      </c>
      <c r="X518" s="14" t="e">
        <f ca="1"/>
        <v>#N/A</v>
      </c>
    </row>
    <row r="519" spans="19:24" ht="15.75" customHeight="1" x14ac:dyDescent="0.25">
      <c r="S519" s="14" t="str">
        <f ca="1">IFERROR(__xludf.DUMMYFUNCTION("""COMPUTED_VALUE"""),"")</f>
        <v/>
      </c>
      <c r="T519" s="14" t="e">
        <f ca="1"/>
        <v>#N/A</v>
      </c>
      <c r="U519" s="14" t="e">
        <f ca="1"/>
        <v>#N/A</v>
      </c>
      <c r="V519" s="14" t="e">
        <f ca="1"/>
        <v>#N/A</v>
      </c>
      <c r="W519" s="8" t="e">
        <f ca="1"/>
        <v>#N/A</v>
      </c>
      <c r="X519" s="14" t="e">
        <f ca="1"/>
        <v>#N/A</v>
      </c>
    </row>
    <row r="520" spans="19:24" ht="15.75" customHeight="1" x14ac:dyDescent="0.25">
      <c r="S520" s="14" t="str">
        <f ca="1">IFERROR(__xludf.DUMMYFUNCTION("""COMPUTED_VALUE"""),"")</f>
        <v/>
      </c>
      <c r="T520" s="14" t="e">
        <f ca="1"/>
        <v>#N/A</v>
      </c>
      <c r="U520" s="14" t="e">
        <f ca="1"/>
        <v>#N/A</v>
      </c>
      <c r="V520" s="14" t="e">
        <f ca="1"/>
        <v>#N/A</v>
      </c>
      <c r="W520" s="8" t="e">
        <f ca="1"/>
        <v>#N/A</v>
      </c>
      <c r="X520" s="14" t="e">
        <f ca="1"/>
        <v>#N/A</v>
      </c>
    </row>
    <row r="521" spans="19:24" ht="15.75" customHeight="1" x14ac:dyDescent="0.25">
      <c r="S521" s="14" t="str">
        <f ca="1">IFERROR(__xludf.DUMMYFUNCTION("""COMPUTED_VALUE"""),"")</f>
        <v/>
      </c>
      <c r="T521" s="14" t="e">
        <f ca="1"/>
        <v>#N/A</v>
      </c>
      <c r="U521" s="14" t="e">
        <f ca="1"/>
        <v>#N/A</v>
      </c>
      <c r="V521" s="14" t="e">
        <f ca="1"/>
        <v>#N/A</v>
      </c>
      <c r="W521" s="8" t="e">
        <f ca="1"/>
        <v>#N/A</v>
      </c>
      <c r="X521" s="14" t="e">
        <f ca="1"/>
        <v>#N/A</v>
      </c>
    </row>
    <row r="522" spans="19:24" ht="15.75" customHeight="1" x14ac:dyDescent="0.25">
      <c r="S522" s="14" t="str">
        <f ca="1">IFERROR(__xludf.DUMMYFUNCTION("""COMPUTED_VALUE"""),"")</f>
        <v/>
      </c>
      <c r="T522" s="14" t="e">
        <f ca="1"/>
        <v>#N/A</v>
      </c>
      <c r="U522" s="14" t="e">
        <f ca="1"/>
        <v>#N/A</v>
      </c>
      <c r="V522" s="14" t="e">
        <f ca="1"/>
        <v>#N/A</v>
      </c>
      <c r="W522" s="8" t="e">
        <f ca="1"/>
        <v>#N/A</v>
      </c>
      <c r="X522" s="14" t="e">
        <f ca="1"/>
        <v>#N/A</v>
      </c>
    </row>
    <row r="523" spans="19:24" ht="15.75" customHeight="1" x14ac:dyDescent="0.25">
      <c r="S523" s="14" t="str">
        <f ca="1">IFERROR(__xludf.DUMMYFUNCTION("""COMPUTED_VALUE"""),"")</f>
        <v/>
      </c>
      <c r="T523" s="14" t="e">
        <f ca="1"/>
        <v>#N/A</v>
      </c>
      <c r="U523" s="14" t="e">
        <f ca="1"/>
        <v>#N/A</v>
      </c>
      <c r="V523" s="14" t="e">
        <f ca="1"/>
        <v>#N/A</v>
      </c>
      <c r="W523" s="8" t="e">
        <f ca="1"/>
        <v>#N/A</v>
      </c>
      <c r="X523" s="14" t="e">
        <f ca="1"/>
        <v>#N/A</v>
      </c>
    </row>
    <row r="524" spans="19:24" ht="15.75" customHeight="1" x14ac:dyDescent="0.25">
      <c r="S524" s="14" t="str">
        <f ca="1">IFERROR(__xludf.DUMMYFUNCTION("""COMPUTED_VALUE"""),"")</f>
        <v/>
      </c>
      <c r="T524" s="14" t="e">
        <f ca="1"/>
        <v>#N/A</v>
      </c>
      <c r="U524" s="14" t="e">
        <f ca="1"/>
        <v>#N/A</v>
      </c>
      <c r="V524" s="14" t="e">
        <f ca="1"/>
        <v>#N/A</v>
      </c>
      <c r="W524" s="8" t="e">
        <f ca="1"/>
        <v>#N/A</v>
      </c>
      <c r="X524" s="14" t="e">
        <f ca="1"/>
        <v>#N/A</v>
      </c>
    </row>
    <row r="525" spans="19:24" ht="15.75" customHeight="1" x14ac:dyDescent="0.25">
      <c r="S525" s="14" t="str">
        <f ca="1">IFERROR(__xludf.DUMMYFUNCTION("""COMPUTED_VALUE"""),"")</f>
        <v/>
      </c>
      <c r="T525" s="14" t="e">
        <f ca="1"/>
        <v>#N/A</v>
      </c>
      <c r="U525" s="14" t="e">
        <f ca="1"/>
        <v>#N/A</v>
      </c>
      <c r="V525" s="14" t="e">
        <f ca="1"/>
        <v>#N/A</v>
      </c>
      <c r="W525" s="8" t="e">
        <f ca="1"/>
        <v>#N/A</v>
      </c>
      <c r="X525" s="14" t="e">
        <f ca="1"/>
        <v>#N/A</v>
      </c>
    </row>
    <row r="526" spans="19:24" ht="15.75" customHeight="1" x14ac:dyDescent="0.25">
      <c r="S526" s="14" t="str">
        <f ca="1">IFERROR(__xludf.DUMMYFUNCTION("""COMPUTED_VALUE"""),"")</f>
        <v/>
      </c>
      <c r="T526" s="14" t="e">
        <f ca="1"/>
        <v>#N/A</v>
      </c>
      <c r="U526" s="14" t="e">
        <f ca="1"/>
        <v>#N/A</v>
      </c>
      <c r="V526" s="14" t="e">
        <f ca="1"/>
        <v>#N/A</v>
      </c>
      <c r="W526" s="8" t="e">
        <f ca="1"/>
        <v>#N/A</v>
      </c>
      <c r="X526" s="14" t="e">
        <f ca="1"/>
        <v>#N/A</v>
      </c>
    </row>
    <row r="527" spans="19:24" ht="15.75" customHeight="1" x14ac:dyDescent="0.25">
      <c r="S527" s="14" t="str">
        <f ca="1">IFERROR(__xludf.DUMMYFUNCTION("""COMPUTED_VALUE"""),"")</f>
        <v/>
      </c>
      <c r="T527" s="14" t="e">
        <f ca="1"/>
        <v>#N/A</v>
      </c>
      <c r="U527" s="14" t="e">
        <f ca="1"/>
        <v>#N/A</v>
      </c>
      <c r="V527" s="14" t="e">
        <f ca="1"/>
        <v>#N/A</v>
      </c>
      <c r="W527" s="8" t="e">
        <f ca="1"/>
        <v>#N/A</v>
      </c>
      <c r="X527" s="14" t="e">
        <f ca="1"/>
        <v>#N/A</v>
      </c>
    </row>
    <row r="528" spans="19:24" ht="15.75" customHeight="1" x14ac:dyDescent="0.25">
      <c r="S528" s="14" t="str">
        <f ca="1">IFERROR(__xludf.DUMMYFUNCTION("""COMPUTED_VALUE"""),"")</f>
        <v/>
      </c>
      <c r="T528" s="14" t="e">
        <f ca="1"/>
        <v>#N/A</v>
      </c>
      <c r="U528" s="14" t="e">
        <f ca="1"/>
        <v>#N/A</v>
      </c>
      <c r="V528" s="14" t="e">
        <f ca="1"/>
        <v>#N/A</v>
      </c>
      <c r="W528" s="8" t="e">
        <f ca="1"/>
        <v>#N/A</v>
      </c>
      <c r="X528" s="14" t="e">
        <f ca="1"/>
        <v>#N/A</v>
      </c>
    </row>
    <row r="529" spans="19:24" ht="15.75" customHeight="1" x14ac:dyDescent="0.25">
      <c r="S529" s="14" t="str">
        <f ca="1">IFERROR(__xludf.DUMMYFUNCTION("""COMPUTED_VALUE"""),"")</f>
        <v/>
      </c>
      <c r="T529" s="14" t="e">
        <f ca="1"/>
        <v>#N/A</v>
      </c>
      <c r="U529" s="14" t="e">
        <f ca="1"/>
        <v>#N/A</v>
      </c>
      <c r="V529" s="14" t="e">
        <f ca="1"/>
        <v>#N/A</v>
      </c>
      <c r="W529" s="8" t="e">
        <f ca="1"/>
        <v>#N/A</v>
      </c>
      <c r="X529" s="14" t="e">
        <f ca="1"/>
        <v>#N/A</v>
      </c>
    </row>
    <row r="530" spans="19:24" ht="15.75" customHeight="1" x14ac:dyDescent="0.25">
      <c r="S530" s="14" t="str">
        <f ca="1">IFERROR(__xludf.DUMMYFUNCTION("""COMPUTED_VALUE"""),"")</f>
        <v/>
      </c>
      <c r="T530" s="14" t="e">
        <f ca="1"/>
        <v>#N/A</v>
      </c>
      <c r="U530" s="14" t="e">
        <f ca="1"/>
        <v>#N/A</v>
      </c>
      <c r="V530" s="14" t="e">
        <f ca="1"/>
        <v>#N/A</v>
      </c>
      <c r="W530" s="8" t="e">
        <f ca="1"/>
        <v>#N/A</v>
      </c>
      <c r="X530" s="14" t="e">
        <f ca="1"/>
        <v>#N/A</v>
      </c>
    </row>
    <row r="531" spans="19:24" ht="15.75" customHeight="1" x14ac:dyDescent="0.25">
      <c r="S531" s="14" t="str">
        <f ca="1">IFERROR(__xludf.DUMMYFUNCTION("""COMPUTED_VALUE"""),"")</f>
        <v/>
      </c>
      <c r="T531" s="14" t="e">
        <f ca="1"/>
        <v>#N/A</v>
      </c>
      <c r="U531" s="14" t="e">
        <f ca="1"/>
        <v>#N/A</v>
      </c>
      <c r="V531" s="14" t="e">
        <f ca="1"/>
        <v>#N/A</v>
      </c>
      <c r="W531" s="8" t="e">
        <f ca="1"/>
        <v>#N/A</v>
      </c>
      <c r="X531" s="14" t="e">
        <f ca="1"/>
        <v>#N/A</v>
      </c>
    </row>
    <row r="532" spans="19:24" ht="15.75" customHeight="1" x14ac:dyDescent="0.25">
      <c r="S532" s="14" t="str">
        <f ca="1">IFERROR(__xludf.DUMMYFUNCTION("""COMPUTED_VALUE"""),"")</f>
        <v/>
      </c>
      <c r="T532" s="14" t="e">
        <f ca="1"/>
        <v>#N/A</v>
      </c>
      <c r="U532" s="14" t="e">
        <f ca="1"/>
        <v>#N/A</v>
      </c>
      <c r="V532" s="14" t="e">
        <f ca="1"/>
        <v>#N/A</v>
      </c>
      <c r="W532" s="8" t="e">
        <f ca="1"/>
        <v>#N/A</v>
      </c>
      <c r="X532" s="14" t="e">
        <f ca="1"/>
        <v>#N/A</v>
      </c>
    </row>
    <row r="533" spans="19:24" ht="15.75" customHeight="1" x14ac:dyDescent="0.25">
      <c r="S533" s="14" t="str">
        <f ca="1">IFERROR(__xludf.DUMMYFUNCTION("""COMPUTED_VALUE"""),"")</f>
        <v/>
      </c>
      <c r="T533" s="14" t="e">
        <f ca="1"/>
        <v>#N/A</v>
      </c>
      <c r="U533" s="14" t="e">
        <f ca="1"/>
        <v>#N/A</v>
      </c>
      <c r="V533" s="14" t="e">
        <f ca="1"/>
        <v>#N/A</v>
      </c>
      <c r="W533" s="8" t="e">
        <f ca="1"/>
        <v>#N/A</v>
      </c>
      <c r="X533" s="14" t="e">
        <f ca="1"/>
        <v>#N/A</v>
      </c>
    </row>
    <row r="534" spans="19:24" ht="15.75" customHeight="1" x14ac:dyDescent="0.25">
      <c r="S534" s="14" t="str">
        <f ca="1">IFERROR(__xludf.DUMMYFUNCTION("""COMPUTED_VALUE"""),"")</f>
        <v/>
      </c>
      <c r="T534" s="14" t="e">
        <f ca="1"/>
        <v>#N/A</v>
      </c>
      <c r="U534" s="14" t="e">
        <f ca="1"/>
        <v>#N/A</v>
      </c>
      <c r="V534" s="14" t="e">
        <f ca="1"/>
        <v>#N/A</v>
      </c>
      <c r="W534" s="8" t="e">
        <f ca="1"/>
        <v>#N/A</v>
      </c>
      <c r="X534" s="14" t="e">
        <f ca="1"/>
        <v>#N/A</v>
      </c>
    </row>
    <row r="535" spans="19:24" ht="15.75" customHeight="1" x14ac:dyDescent="0.25">
      <c r="S535" s="14" t="str">
        <f ca="1">IFERROR(__xludf.DUMMYFUNCTION("""COMPUTED_VALUE"""),"")</f>
        <v/>
      </c>
      <c r="T535" s="14" t="e">
        <f ca="1"/>
        <v>#N/A</v>
      </c>
      <c r="U535" s="14" t="e">
        <f ca="1"/>
        <v>#N/A</v>
      </c>
      <c r="V535" s="14" t="e">
        <f ca="1"/>
        <v>#N/A</v>
      </c>
      <c r="W535" s="8" t="e">
        <f ca="1"/>
        <v>#N/A</v>
      </c>
      <c r="X535" s="14" t="e">
        <f ca="1"/>
        <v>#N/A</v>
      </c>
    </row>
    <row r="536" spans="19:24" ht="15.75" customHeight="1" x14ac:dyDescent="0.25">
      <c r="S536" s="14" t="str">
        <f ca="1">IFERROR(__xludf.DUMMYFUNCTION("""COMPUTED_VALUE"""),"")</f>
        <v/>
      </c>
      <c r="T536" s="14" t="e">
        <f ca="1"/>
        <v>#N/A</v>
      </c>
      <c r="U536" s="14" t="e">
        <f ca="1"/>
        <v>#N/A</v>
      </c>
      <c r="V536" s="14" t="e">
        <f ca="1"/>
        <v>#N/A</v>
      </c>
      <c r="W536" s="8" t="e">
        <f ca="1"/>
        <v>#N/A</v>
      </c>
      <c r="X536" s="14" t="e">
        <f ca="1"/>
        <v>#N/A</v>
      </c>
    </row>
    <row r="537" spans="19:24" ht="15.75" customHeight="1" x14ac:dyDescent="0.25">
      <c r="S537" s="14" t="str">
        <f ca="1">IFERROR(__xludf.DUMMYFUNCTION("""COMPUTED_VALUE"""),"")</f>
        <v/>
      </c>
      <c r="T537" s="14" t="e">
        <f ca="1"/>
        <v>#N/A</v>
      </c>
      <c r="U537" s="14" t="e">
        <f ca="1"/>
        <v>#N/A</v>
      </c>
      <c r="V537" s="14" t="e">
        <f ca="1"/>
        <v>#N/A</v>
      </c>
      <c r="W537" s="8" t="e">
        <f ca="1"/>
        <v>#N/A</v>
      </c>
      <c r="X537" s="14" t="e">
        <f ca="1"/>
        <v>#N/A</v>
      </c>
    </row>
    <row r="538" spans="19:24" ht="15.75" customHeight="1" x14ac:dyDescent="0.25">
      <c r="S538" s="14" t="str">
        <f ca="1">IFERROR(__xludf.DUMMYFUNCTION("""COMPUTED_VALUE"""),"")</f>
        <v/>
      </c>
      <c r="T538" s="14" t="e">
        <f ca="1"/>
        <v>#N/A</v>
      </c>
      <c r="U538" s="14" t="e">
        <f ca="1"/>
        <v>#N/A</v>
      </c>
      <c r="V538" s="14" t="e">
        <f ca="1"/>
        <v>#N/A</v>
      </c>
      <c r="W538" s="8" t="e">
        <f ca="1"/>
        <v>#N/A</v>
      </c>
      <c r="X538" s="14" t="e">
        <f ca="1"/>
        <v>#N/A</v>
      </c>
    </row>
    <row r="539" spans="19:24" ht="15.75" customHeight="1" x14ac:dyDescent="0.25">
      <c r="S539" s="14" t="str">
        <f ca="1">IFERROR(__xludf.DUMMYFUNCTION("""COMPUTED_VALUE"""),"")</f>
        <v/>
      </c>
      <c r="T539" s="14" t="e">
        <f ca="1"/>
        <v>#N/A</v>
      </c>
      <c r="U539" s="14" t="e">
        <f ca="1"/>
        <v>#N/A</v>
      </c>
      <c r="V539" s="14" t="e">
        <f ca="1"/>
        <v>#N/A</v>
      </c>
      <c r="W539" s="8" t="e">
        <f ca="1"/>
        <v>#N/A</v>
      </c>
      <c r="X539" s="14" t="e">
        <f ca="1"/>
        <v>#N/A</v>
      </c>
    </row>
    <row r="540" spans="19:24" ht="15.75" customHeight="1" x14ac:dyDescent="0.25">
      <c r="S540" s="14" t="str">
        <f ca="1">IFERROR(__xludf.DUMMYFUNCTION("""COMPUTED_VALUE"""),"")</f>
        <v/>
      </c>
      <c r="T540" s="14" t="e">
        <f ca="1"/>
        <v>#N/A</v>
      </c>
      <c r="U540" s="14" t="e">
        <f ca="1"/>
        <v>#N/A</v>
      </c>
      <c r="V540" s="14" t="e">
        <f ca="1"/>
        <v>#N/A</v>
      </c>
      <c r="W540" s="8" t="e">
        <f ca="1"/>
        <v>#N/A</v>
      </c>
      <c r="X540" s="14" t="e">
        <f ca="1"/>
        <v>#N/A</v>
      </c>
    </row>
    <row r="541" spans="19:24" ht="15.75" customHeight="1" x14ac:dyDescent="0.25">
      <c r="S541" s="14" t="str">
        <f ca="1">IFERROR(__xludf.DUMMYFUNCTION("""COMPUTED_VALUE"""),"")</f>
        <v/>
      </c>
      <c r="T541" s="14" t="e">
        <f ca="1"/>
        <v>#N/A</v>
      </c>
      <c r="U541" s="14" t="e">
        <f ca="1"/>
        <v>#N/A</v>
      </c>
      <c r="V541" s="14" t="e">
        <f ca="1"/>
        <v>#N/A</v>
      </c>
      <c r="W541" s="8" t="e">
        <f ca="1"/>
        <v>#N/A</v>
      </c>
      <c r="X541" s="14" t="e">
        <f ca="1"/>
        <v>#N/A</v>
      </c>
    </row>
    <row r="542" spans="19:24" ht="15.75" customHeight="1" x14ac:dyDescent="0.25">
      <c r="S542" s="14" t="str">
        <f ca="1">IFERROR(__xludf.DUMMYFUNCTION("""COMPUTED_VALUE"""),"")</f>
        <v/>
      </c>
      <c r="T542" s="14" t="e">
        <f ca="1"/>
        <v>#N/A</v>
      </c>
      <c r="U542" s="14" t="e">
        <f ca="1"/>
        <v>#N/A</v>
      </c>
      <c r="V542" s="14" t="e">
        <f ca="1"/>
        <v>#N/A</v>
      </c>
      <c r="W542" s="8" t="e">
        <f ca="1"/>
        <v>#N/A</v>
      </c>
      <c r="X542" s="14" t="e">
        <f ca="1"/>
        <v>#N/A</v>
      </c>
    </row>
    <row r="543" spans="19:24" ht="15.75" customHeight="1" x14ac:dyDescent="0.25">
      <c r="S543" s="14" t="str">
        <f ca="1">IFERROR(__xludf.DUMMYFUNCTION("""COMPUTED_VALUE"""),"")</f>
        <v/>
      </c>
      <c r="T543" s="14" t="e">
        <f ca="1"/>
        <v>#N/A</v>
      </c>
      <c r="U543" s="14" t="e">
        <f ca="1"/>
        <v>#N/A</v>
      </c>
      <c r="V543" s="14" t="e">
        <f ca="1"/>
        <v>#N/A</v>
      </c>
      <c r="W543" s="8" t="e">
        <f ca="1"/>
        <v>#N/A</v>
      </c>
      <c r="X543" s="14" t="e">
        <f ca="1"/>
        <v>#N/A</v>
      </c>
    </row>
    <row r="544" spans="19:24" ht="15.75" customHeight="1" x14ac:dyDescent="0.25">
      <c r="S544" s="14" t="str">
        <f ca="1">IFERROR(__xludf.DUMMYFUNCTION("""COMPUTED_VALUE"""),"")</f>
        <v/>
      </c>
      <c r="T544" s="14" t="e">
        <f ca="1"/>
        <v>#N/A</v>
      </c>
      <c r="U544" s="14" t="e">
        <f ca="1"/>
        <v>#N/A</v>
      </c>
      <c r="V544" s="14" t="e">
        <f ca="1"/>
        <v>#N/A</v>
      </c>
      <c r="W544" s="8" t="e">
        <f ca="1"/>
        <v>#N/A</v>
      </c>
      <c r="X544" s="14" t="e">
        <f ca="1"/>
        <v>#N/A</v>
      </c>
    </row>
    <row r="545" spans="19:24" ht="15.75" customHeight="1" x14ac:dyDescent="0.25">
      <c r="S545" s="14" t="str">
        <f ca="1">IFERROR(__xludf.DUMMYFUNCTION("""COMPUTED_VALUE"""),"")</f>
        <v/>
      </c>
      <c r="T545" s="14" t="e">
        <f ca="1"/>
        <v>#N/A</v>
      </c>
      <c r="U545" s="14" t="e">
        <f ca="1"/>
        <v>#N/A</v>
      </c>
      <c r="V545" s="14" t="e">
        <f ca="1"/>
        <v>#N/A</v>
      </c>
      <c r="W545" s="8" t="e">
        <f ca="1"/>
        <v>#N/A</v>
      </c>
      <c r="X545" s="14" t="e">
        <f ca="1"/>
        <v>#N/A</v>
      </c>
    </row>
    <row r="546" spans="19:24" ht="15.75" customHeight="1" x14ac:dyDescent="0.25">
      <c r="S546" s="14" t="str">
        <f ca="1">IFERROR(__xludf.DUMMYFUNCTION("""COMPUTED_VALUE"""),"")</f>
        <v/>
      </c>
      <c r="T546" s="14" t="e">
        <f ca="1"/>
        <v>#N/A</v>
      </c>
      <c r="U546" s="14" t="e">
        <f ca="1"/>
        <v>#N/A</v>
      </c>
      <c r="V546" s="14" t="e">
        <f ca="1"/>
        <v>#N/A</v>
      </c>
      <c r="W546" s="8" t="e">
        <f ca="1"/>
        <v>#N/A</v>
      </c>
      <c r="X546" s="14" t="e">
        <f ca="1"/>
        <v>#N/A</v>
      </c>
    </row>
    <row r="547" spans="19:24" ht="15.75" customHeight="1" x14ac:dyDescent="0.25">
      <c r="S547" s="14" t="str">
        <f ca="1">IFERROR(__xludf.DUMMYFUNCTION("""COMPUTED_VALUE"""),"")</f>
        <v/>
      </c>
      <c r="T547" s="14" t="e">
        <f ca="1"/>
        <v>#N/A</v>
      </c>
      <c r="U547" s="14" t="e">
        <f ca="1"/>
        <v>#N/A</v>
      </c>
      <c r="V547" s="14" t="e">
        <f ca="1"/>
        <v>#N/A</v>
      </c>
      <c r="W547" s="8" t="e">
        <f ca="1"/>
        <v>#N/A</v>
      </c>
      <c r="X547" s="14" t="e">
        <f ca="1"/>
        <v>#N/A</v>
      </c>
    </row>
    <row r="548" spans="19:24" ht="15.75" customHeight="1" x14ac:dyDescent="0.25">
      <c r="S548" s="14" t="str">
        <f ca="1">IFERROR(__xludf.DUMMYFUNCTION("""COMPUTED_VALUE"""),"")</f>
        <v/>
      </c>
      <c r="T548" s="14" t="e">
        <f ca="1"/>
        <v>#N/A</v>
      </c>
      <c r="U548" s="14" t="e">
        <f ca="1"/>
        <v>#N/A</v>
      </c>
      <c r="V548" s="14" t="e">
        <f ca="1"/>
        <v>#N/A</v>
      </c>
      <c r="W548" s="8" t="e">
        <f ca="1"/>
        <v>#N/A</v>
      </c>
      <c r="X548" s="14" t="e">
        <f ca="1"/>
        <v>#N/A</v>
      </c>
    </row>
    <row r="549" spans="19:24" ht="15.75" customHeight="1" x14ac:dyDescent="0.25">
      <c r="S549" s="14" t="str">
        <f ca="1">IFERROR(__xludf.DUMMYFUNCTION("""COMPUTED_VALUE"""),"")</f>
        <v/>
      </c>
      <c r="T549" s="14" t="e">
        <f ca="1"/>
        <v>#N/A</v>
      </c>
      <c r="U549" s="14" t="e">
        <f ca="1"/>
        <v>#N/A</v>
      </c>
      <c r="V549" s="14" t="e">
        <f ca="1"/>
        <v>#N/A</v>
      </c>
      <c r="W549" s="8" t="e">
        <f ca="1"/>
        <v>#N/A</v>
      </c>
      <c r="X549" s="14" t="e">
        <f ca="1"/>
        <v>#N/A</v>
      </c>
    </row>
    <row r="550" spans="19:24" ht="15.75" customHeight="1" x14ac:dyDescent="0.25">
      <c r="S550" s="14" t="str">
        <f ca="1">IFERROR(__xludf.DUMMYFUNCTION("""COMPUTED_VALUE"""),"")</f>
        <v/>
      </c>
      <c r="T550" s="14" t="e">
        <f ca="1"/>
        <v>#N/A</v>
      </c>
      <c r="U550" s="14" t="e">
        <f ca="1"/>
        <v>#N/A</v>
      </c>
      <c r="V550" s="14" t="e">
        <f ca="1"/>
        <v>#N/A</v>
      </c>
      <c r="W550" s="8" t="e">
        <f ca="1"/>
        <v>#N/A</v>
      </c>
      <c r="X550" s="14" t="e">
        <f ca="1"/>
        <v>#N/A</v>
      </c>
    </row>
    <row r="551" spans="19:24" ht="15.75" customHeight="1" x14ac:dyDescent="0.25">
      <c r="S551" s="14" t="str">
        <f ca="1">IFERROR(__xludf.DUMMYFUNCTION("""COMPUTED_VALUE"""),"")</f>
        <v/>
      </c>
      <c r="T551" s="14" t="e">
        <f ca="1"/>
        <v>#N/A</v>
      </c>
      <c r="U551" s="14" t="e">
        <f ca="1"/>
        <v>#N/A</v>
      </c>
      <c r="V551" s="14" t="e">
        <f ca="1"/>
        <v>#N/A</v>
      </c>
      <c r="W551" s="8" t="e">
        <f ca="1"/>
        <v>#N/A</v>
      </c>
      <c r="X551" s="14" t="e">
        <f ca="1"/>
        <v>#N/A</v>
      </c>
    </row>
    <row r="552" spans="19:24" ht="15.75" customHeight="1" x14ac:dyDescent="0.25">
      <c r="S552" s="14" t="str">
        <f ca="1">IFERROR(__xludf.DUMMYFUNCTION("""COMPUTED_VALUE"""),"")</f>
        <v/>
      </c>
      <c r="T552" s="14" t="e">
        <f ca="1"/>
        <v>#N/A</v>
      </c>
      <c r="U552" s="14" t="e">
        <f ca="1"/>
        <v>#N/A</v>
      </c>
      <c r="V552" s="14" t="e">
        <f ca="1"/>
        <v>#N/A</v>
      </c>
      <c r="W552" s="8" t="e">
        <f ca="1"/>
        <v>#N/A</v>
      </c>
      <c r="X552" s="14" t="e">
        <f ca="1"/>
        <v>#N/A</v>
      </c>
    </row>
    <row r="553" spans="19:24" ht="15.75" customHeight="1" x14ac:dyDescent="0.25">
      <c r="S553" s="14" t="str">
        <f ca="1">IFERROR(__xludf.DUMMYFUNCTION("""COMPUTED_VALUE"""),"")</f>
        <v/>
      </c>
      <c r="T553" s="14" t="e">
        <f ca="1"/>
        <v>#N/A</v>
      </c>
      <c r="U553" s="14" t="e">
        <f ca="1"/>
        <v>#N/A</v>
      </c>
      <c r="V553" s="14" t="e">
        <f ca="1"/>
        <v>#N/A</v>
      </c>
      <c r="W553" s="8" t="e">
        <f ca="1"/>
        <v>#N/A</v>
      </c>
      <c r="X553" s="14" t="e">
        <f ca="1"/>
        <v>#N/A</v>
      </c>
    </row>
    <row r="554" spans="19:24" ht="15.75" customHeight="1" x14ac:dyDescent="0.25">
      <c r="S554" s="14" t="str">
        <f ca="1">IFERROR(__xludf.DUMMYFUNCTION("""COMPUTED_VALUE"""),"")</f>
        <v/>
      </c>
      <c r="T554" s="14" t="e">
        <f ca="1"/>
        <v>#N/A</v>
      </c>
      <c r="U554" s="14" t="e">
        <f ca="1"/>
        <v>#N/A</v>
      </c>
      <c r="V554" s="14" t="e">
        <f ca="1"/>
        <v>#N/A</v>
      </c>
      <c r="W554" s="8" t="e">
        <f ca="1"/>
        <v>#N/A</v>
      </c>
      <c r="X554" s="14" t="e">
        <f ca="1"/>
        <v>#N/A</v>
      </c>
    </row>
    <row r="555" spans="19:24" ht="15.75" customHeight="1" x14ac:dyDescent="0.25">
      <c r="S555" s="14" t="str">
        <f ca="1">IFERROR(__xludf.DUMMYFUNCTION("""COMPUTED_VALUE"""),"")</f>
        <v/>
      </c>
      <c r="T555" s="14" t="e">
        <f ca="1"/>
        <v>#N/A</v>
      </c>
      <c r="U555" s="14" t="e">
        <f ca="1"/>
        <v>#N/A</v>
      </c>
      <c r="V555" s="14" t="e">
        <f ca="1"/>
        <v>#N/A</v>
      </c>
      <c r="W555" s="8" t="e">
        <f ca="1"/>
        <v>#N/A</v>
      </c>
      <c r="X555" s="14" t="e">
        <f ca="1"/>
        <v>#N/A</v>
      </c>
    </row>
    <row r="556" spans="19:24" ht="15.75" customHeight="1" x14ac:dyDescent="0.25">
      <c r="S556" s="14" t="str">
        <f ca="1">IFERROR(__xludf.DUMMYFUNCTION("""COMPUTED_VALUE"""),"")</f>
        <v/>
      </c>
      <c r="T556" s="14" t="e">
        <f ca="1"/>
        <v>#N/A</v>
      </c>
      <c r="U556" s="14" t="e">
        <f ca="1"/>
        <v>#N/A</v>
      </c>
      <c r="V556" s="14" t="e">
        <f ca="1"/>
        <v>#N/A</v>
      </c>
      <c r="W556" s="8" t="e">
        <f ca="1"/>
        <v>#N/A</v>
      </c>
      <c r="X556" s="14" t="e">
        <f ca="1"/>
        <v>#N/A</v>
      </c>
    </row>
    <row r="557" spans="19:24" ht="15.75" customHeight="1" x14ac:dyDescent="0.25">
      <c r="S557" s="14" t="str">
        <f ca="1">IFERROR(__xludf.DUMMYFUNCTION("""COMPUTED_VALUE"""),"")</f>
        <v/>
      </c>
      <c r="T557" s="14" t="e">
        <f ca="1"/>
        <v>#N/A</v>
      </c>
      <c r="U557" s="14" t="e">
        <f ca="1"/>
        <v>#N/A</v>
      </c>
      <c r="V557" s="14" t="e">
        <f ca="1"/>
        <v>#N/A</v>
      </c>
      <c r="W557" s="8" t="e">
        <f ca="1"/>
        <v>#N/A</v>
      </c>
      <c r="X557" s="14" t="e">
        <f ca="1"/>
        <v>#N/A</v>
      </c>
    </row>
    <row r="558" spans="19:24" ht="15.75" customHeight="1" x14ac:dyDescent="0.25">
      <c r="S558" s="14" t="str">
        <f ca="1">IFERROR(__xludf.DUMMYFUNCTION("""COMPUTED_VALUE"""),"")</f>
        <v/>
      </c>
      <c r="T558" s="14" t="e">
        <f ca="1"/>
        <v>#N/A</v>
      </c>
      <c r="U558" s="14" t="e">
        <f ca="1"/>
        <v>#N/A</v>
      </c>
      <c r="V558" s="14" t="e">
        <f ca="1"/>
        <v>#N/A</v>
      </c>
      <c r="W558" s="8" t="e">
        <f ca="1"/>
        <v>#N/A</v>
      </c>
      <c r="X558" s="14" t="e">
        <f ca="1"/>
        <v>#N/A</v>
      </c>
    </row>
    <row r="559" spans="19:24" ht="15.75" customHeight="1" x14ac:dyDescent="0.25">
      <c r="S559" s="14" t="str">
        <f ca="1">IFERROR(__xludf.DUMMYFUNCTION("""COMPUTED_VALUE"""),"")</f>
        <v/>
      </c>
      <c r="T559" s="14" t="e">
        <f ca="1"/>
        <v>#N/A</v>
      </c>
      <c r="U559" s="14" t="e">
        <f ca="1"/>
        <v>#N/A</v>
      </c>
      <c r="V559" s="14" t="e">
        <f ca="1"/>
        <v>#N/A</v>
      </c>
      <c r="W559" s="8" t="e">
        <f ca="1"/>
        <v>#N/A</v>
      </c>
      <c r="X559" s="14" t="e">
        <f ca="1"/>
        <v>#N/A</v>
      </c>
    </row>
    <row r="560" spans="19:24" ht="15.75" customHeight="1" x14ac:dyDescent="0.25">
      <c r="S560" s="14" t="str">
        <f ca="1">IFERROR(__xludf.DUMMYFUNCTION("""COMPUTED_VALUE"""),"")</f>
        <v/>
      </c>
      <c r="T560" s="14" t="e">
        <f ca="1"/>
        <v>#N/A</v>
      </c>
      <c r="U560" s="14" t="e">
        <f ca="1"/>
        <v>#N/A</v>
      </c>
      <c r="V560" s="14" t="e">
        <f ca="1"/>
        <v>#N/A</v>
      </c>
      <c r="W560" s="8" t="e">
        <f ca="1"/>
        <v>#N/A</v>
      </c>
      <c r="X560" s="14" t="e">
        <f ca="1"/>
        <v>#N/A</v>
      </c>
    </row>
    <row r="561" spans="19:24" ht="15.75" customHeight="1" x14ac:dyDescent="0.25">
      <c r="S561" s="14" t="str">
        <f ca="1">IFERROR(__xludf.DUMMYFUNCTION("""COMPUTED_VALUE"""),"")</f>
        <v/>
      </c>
      <c r="T561" s="14" t="e">
        <f ca="1"/>
        <v>#N/A</v>
      </c>
      <c r="U561" s="14" t="e">
        <f ca="1"/>
        <v>#N/A</v>
      </c>
      <c r="V561" s="14" t="e">
        <f ca="1"/>
        <v>#N/A</v>
      </c>
      <c r="W561" s="8" t="e">
        <f ca="1"/>
        <v>#N/A</v>
      </c>
      <c r="X561" s="14" t="e">
        <f ca="1"/>
        <v>#N/A</v>
      </c>
    </row>
    <row r="562" spans="19:24" ht="15.75" customHeight="1" x14ac:dyDescent="0.25">
      <c r="S562" s="14" t="str">
        <f ca="1">IFERROR(__xludf.DUMMYFUNCTION("""COMPUTED_VALUE"""),"")</f>
        <v/>
      </c>
      <c r="T562" s="14" t="e">
        <f ca="1"/>
        <v>#N/A</v>
      </c>
      <c r="U562" s="14" t="e">
        <f ca="1"/>
        <v>#N/A</v>
      </c>
      <c r="V562" s="14" t="e">
        <f ca="1"/>
        <v>#N/A</v>
      </c>
      <c r="W562" s="8" t="e">
        <f ca="1"/>
        <v>#N/A</v>
      </c>
      <c r="X562" s="14" t="e">
        <f ca="1"/>
        <v>#N/A</v>
      </c>
    </row>
    <row r="563" spans="19:24" ht="15.75" customHeight="1" x14ac:dyDescent="0.25">
      <c r="S563" s="14" t="str">
        <f ca="1">IFERROR(__xludf.DUMMYFUNCTION("""COMPUTED_VALUE"""),"")</f>
        <v/>
      </c>
      <c r="T563" s="14" t="e">
        <f ca="1"/>
        <v>#N/A</v>
      </c>
      <c r="U563" s="14" t="e">
        <f ca="1"/>
        <v>#N/A</v>
      </c>
      <c r="V563" s="14" t="e">
        <f ca="1"/>
        <v>#N/A</v>
      </c>
      <c r="W563" s="8" t="e">
        <f ca="1"/>
        <v>#N/A</v>
      </c>
      <c r="X563" s="14" t="e">
        <f ca="1"/>
        <v>#N/A</v>
      </c>
    </row>
    <row r="564" spans="19:24" ht="15.75" customHeight="1" x14ac:dyDescent="0.25">
      <c r="S564" s="14" t="str">
        <f ca="1">IFERROR(__xludf.DUMMYFUNCTION("""COMPUTED_VALUE"""),"")</f>
        <v/>
      </c>
      <c r="T564" s="14" t="e">
        <f ca="1"/>
        <v>#N/A</v>
      </c>
      <c r="U564" s="14" t="e">
        <f ca="1"/>
        <v>#N/A</v>
      </c>
      <c r="V564" s="14" t="e">
        <f ca="1"/>
        <v>#N/A</v>
      </c>
      <c r="W564" s="8" t="e">
        <f ca="1"/>
        <v>#N/A</v>
      </c>
      <c r="X564" s="14" t="e">
        <f ca="1"/>
        <v>#N/A</v>
      </c>
    </row>
    <row r="565" spans="19:24" ht="15.75" customHeight="1" x14ac:dyDescent="0.25">
      <c r="S565" s="14" t="str">
        <f ca="1">IFERROR(__xludf.DUMMYFUNCTION("""COMPUTED_VALUE"""),"")</f>
        <v/>
      </c>
      <c r="T565" s="14" t="e">
        <f ca="1"/>
        <v>#N/A</v>
      </c>
      <c r="U565" s="14" t="e">
        <f ca="1"/>
        <v>#N/A</v>
      </c>
      <c r="V565" s="14" t="e">
        <f ca="1"/>
        <v>#N/A</v>
      </c>
      <c r="W565" s="8" t="e">
        <f ca="1"/>
        <v>#N/A</v>
      </c>
      <c r="X565" s="14" t="e">
        <f ca="1"/>
        <v>#N/A</v>
      </c>
    </row>
    <row r="566" spans="19:24" ht="15.75" customHeight="1" x14ac:dyDescent="0.25">
      <c r="S566" s="14" t="str">
        <f ca="1">IFERROR(__xludf.DUMMYFUNCTION("""COMPUTED_VALUE"""),"")</f>
        <v/>
      </c>
      <c r="T566" s="14" t="e">
        <f ca="1"/>
        <v>#N/A</v>
      </c>
      <c r="U566" s="14" t="e">
        <f ca="1"/>
        <v>#N/A</v>
      </c>
      <c r="V566" s="14" t="e">
        <f ca="1"/>
        <v>#N/A</v>
      </c>
      <c r="W566" s="8" t="e">
        <f ca="1"/>
        <v>#N/A</v>
      </c>
      <c r="X566" s="14" t="e">
        <f ca="1"/>
        <v>#N/A</v>
      </c>
    </row>
    <row r="567" spans="19:24" ht="15.75" customHeight="1" x14ac:dyDescent="0.25">
      <c r="S567" s="14" t="str">
        <f ca="1">IFERROR(__xludf.DUMMYFUNCTION("""COMPUTED_VALUE"""),"")</f>
        <v/>
      </c>
      <c r="T567" s="14" t="e">
        <f ca="1"/>
        <v>#N/A</v>
      </c>
      <c r="U567" s="14" t="e">
        <f ca="1"/>
        <v>#N/A</v>
      </c>
      <c r="V567" s="14" t="e">
        <f ca="1"/>
        <v>#N/A</v>
      </c>
      <c r="W567" s="8" t="e">
        <f ca="1"/>
        <v>#N/A</v>
      </c>
      <c r="X567" s="14" t="e">
        <f ca="1"/>
        <v>#N/A</v>
      </c>
    </row>
    <row r="568" spans="19:24" ht="15.75" customHeight="1" x14ac:dyDescent="0.25">
      <c r="S568" s="14" t="str">
        <f ca="1">IFERROR(__xludf.DUMMYFUNCTION("""COMPUTED_VALUE"""),"")</f>
        <v/>
      </c>
      <c r="T568" s="14" t="e">
        <f ca="1"/>
        <v>#N/A</v>
      </c>
      <c r="U568" s="14" t="e">
        <f ca="1"/>
        <v>#N/A</v>
      </c>
      <c r="V568" s="14" t="e">
        <f ca="1"/>
        <v>#N/A</v>
      </c>
      <c r="W568" s="8" t="e">
        <f ca="1"/>
        <v>#N/A</v>
      </c>
      <c r="X568" s="14" t="e">
        <f ca="1"/>
        <v>#N/A</v>
      </c>
    </row>
    <row r="569" spans="19:24" ht="15.75" customHeight="1" x14ac:dyDescent="0.25">
      <c r="S569" s="14" t="str">
        <f ca="1">IFERROR(__xludf.DUMMYFUNCTION("""COMPUTED_VALUE"""),"")</f>
        <v/>
      </c>
      <c r="T569" s="14" t="e">
        <f ca="1"/>
        <v>#N/A</v>
      </c>
      <c r="U569" s="14" t="e">
        <f ca="1"/>
        <v>#N/A</v>
      </c>
      <c r="V569" s="14" t="e">
        <f ca="1"/>
        <v>#N/A</v>
      </c>
      <c r="W569" s="8" t="e">
        <f ca="1"/>
        <v>#N/A</v>
      </c>
      <c r="X569" s="14" t="e">
        <f ca="1"/>
        <v>#N/A</v>
      </c>
    </row>
    <row r="570" spans="19:24" ht="15.75" customHeight="1" x14ac:dyDescent="0.25">
      <c r="S570" s="14" t="str">
        <f ca="1">IFERROR(__xludf.DUMMYFUNCTION("""COMPUTED_VALUE"""),"")</f>
        <v/>
      </c>
      <c r="T570" s="14" t="e">
        <f ca="1"/>
        <v>#N/A</v>
      </c>
      <c r="U570" s="14" t="e">
        <f ca="1"/>
        <v>#N/A</v>
      </c>
      <c r="V570" s="14" t="e">
        <f ca="1"/>
        <v>#N/A</v>
      </c>
      <c r="W570" s="8" t="e">
        <f ca="1"/>
        <v>#N/A</v>
      </c>
      <c r="X570" s="14" t="e">
        <f ca="1"/>
        <v>#N/A</v>
      </c>
    </row>
    <row r="571" spans="19:24" ht="15.75" customHeight="1" x14ac:dyDescent="0.25">
      <c r="S571" s="14" t="str">
        <f ca="1">IFERROR(__xludf.DUMMYFUNCTION("""COMPUTED_VALUE"""),"")</f>
        <v/>
      </c>
      <c r="T571" s="14" t="e">
        <f ca="1"/>
        <v>#N/A</v>
      </c>
      <c r="U571" s="14" t="e">
        <f ca="1"/>
        <v>#N/A</v>
      </c>
      <c r="V571" s="14" t="e">
        <f ca="1"/>
        <v>#N/A</v>
      </c>
      <c r="W571" s="8" t="e">
        <f ca="1"/>
        <v>#N/A</v>
      </c>
      <c r="X571" s="14" t="e">
        <f ca="1"/>
        <v>#N/A</v>
      </c>
    </row>
    <row r="572" spans="19:24" ht="15.75" customHeight="1" x14ac:dyDescent="0.25">
      <c r="S572" s="14" t="str">
        <f ca="1">IFERROR(__xludf.DUMMYFUNCTION("""COMPUTED_VALUE"""),"")</f>
        <v/>
      </c>
      <c r="T572" s="14" t="e">
        <f ca="1"/>
        <v>#N/A</v>
      </c>
      <c r="U572" s="14" t="e">
        <f ca="1"/>
        <v>#N/A</v>
      </c>
      <c r="V572" s="14" t="e">
        <f ca="1"/>
        <v>#N/A</v>
      </c>
      <c r="W572" s="8" t="e">
        <f ca="1"/>
        <v>#N/A</v>
      </c>
      <c r="X572" s="14" t="e">
        <f ca="1"/>
        <v>#N/A</v>
      </c>
    </row>
    <row r="573" spans="19:24" ht="15.75" customHeight="1" x14ac:dyDescent="0.25">
      <c r="S573" s="14" t="str">
        <f ca="1">IFERROR(__xludf.DUMMYFUNCTION("""COMPUTED_VALUE"""),"")</f>
        <v/>
      </c>
      <c r="T573" s="14" t="e">
        <f ca="1"/>
        <v>#N/A</v>
      </c>
      <c r="U573" s="14" t="e">
        <f ca="1"/>
        <v>#N/A</v>
      </c>
      <c r="V573" s="14" t="e">
        <f ca="1"/>
        <v>#N/A</v>
      </c>
      <c r="W573" s="8" t="e">
        <f ca="1"/>
        <v>#N/A</v>
      </c>
      <c r="X573" s="14" t="e">
        <f ca="1"/>
        <v>#N/A</v>
      </c>
    </row>
    <row r="574" spans="19:24" ht="15.75" customHeight="1" x14ac:dyDescent="0.25">
      <c r="S574" s="14" t="str">
        <f ca="1">IFERROR(__xludf.DUMMYFUNCTION("""COMPUTED_VALUE"""),"")</f>
        <v/>
      </c>
      <c r="T574" s="14" t="e">
        <f ca="1"/>
        <v>#N/A</v>
      </c>
      <c r="U574" s="14" t="e">
        <f ca="1"/>
        <v>#N/A</v>
      </c>
      <c r="V574" s="14" t="e">
        <f ca="1"/>
        <v>#N/A</v>
      </c>
      <c r="W574" s="8" t="e">
        <f ca="1"/>
        <v>#N/A</v>
      </c>
      <c r="X574" s="14" t="e">
        <f ca="1"/>
        <v>#N/A</v>
      </c>
    </row>
    <row r="575" spans="19:24" ht="15.75" customHeight="1" x14ac:dyDescent="0.25">
      <c r="S575" s="14" t="str">
        <f ca="1">IFERROR(__xludf.DUMMYFUNCTION("""COMPUTED_VALUE"""),"")</f>
        <v/>
      </c>
      <c r="T575" s="14" t="e">
        <f ca="1"/>
        <v>#N/A</v>
      </c>
      <c r="U575" s="14" t="e">
        <f ca="1"/>
        <v>#N/A</v>
      </c>
      <c r="V575" s="14" t="e">
        <f ca="1"/>
        <v>#N/A</v>
      </c>
      <c r="W575" s="8" t="e">
        <f ca="1"/>
        <v>#N/A</v>
      </c>
      <c r="X575" s="14" t="e">
        <f ca="1"/>
        <v>#N/A</v>
      </c>
    </row>
    <row r="576" spans="19:24" ht="15.75" customHeight="1" x14ac:dyDescent="0.25">
      <c r="S576" s="14" t="str">
        <f ca="1">IFERROR(__xludf.DUMMYFUNCTION("""COMPUTED_VALUE"""),"")</f>
        <v/>
      </c>
      <c r="T576" s="14" t="e">
        <f ca="1"/>
        <v>#N/A</v>
      </c>
      <c r="U576" s="14" t="e">
        <f ca="1"/>
        <v>#N/A</v>
      </c>
      <c r="V576" s="14" t="e">
        <f ca="1"/>
        <v>#N/A</v>
      </c>
      <c r="W576" s="8" t="e">
        <f ca="1"/>
        <v>#N/A</v>
      </c>
      <c r="X576" s="14" t="e">
        <f ca="1"/>
        <v>#N/A</v>
      </c>
    </row>
    <row r="577" spans="19:24" ht="15.75" customHeight="1" x14ac:dyDescent="0.25">
      <c r="S577" s="14" t="str">
        <f ca="1">IFERROR(__xludf.DUMMYFUNCTION("""COMPUTED_VALUE"""),"")</f>
        <v/>
      </c>
      <c r="T577" s="14" t="e">
        <f ca="1"/>
        <v>#N/A</v>
      </c>
      <c r="U577" s="14" t="e">
        <f ca="1"/>
        <v>#N/A</v>
      </c>
      <c r="V577" s="14" t="e">
        <f ca="1"/>
        <v>#N/A</v>
      </c>
      <c r="W577" s="8" t="e">
        <f ca="1"/>
        <v>#N/A</v>
      </c>
      <c r="X577" s="14" t="e">
        <f ca="1"/>
        <v>#N/A</v>
      </c>
    </row>
    <row r="578" spans="19:24" ht="15.75" customHeight="1" x14ac:dyDescent="0.25">
      <c r="S578" s="14" t="str">
        <f ca="1">IFERROR(__xludf.DUMMYFUNCTION("""COMPUTED_VALUE"""),"")</f>
        <v/>
      </c>
      <c r="T578" s="14" t="e">
        <f ca="1"/>
        <v>#N/A</v>
      </c>
      <c r="U578" s="14" t="e">
        <f ca="1"/>
        <v>#N/A</v>
      </c>
      <c r="V578" s="14" t="e">
        <f ca="1"/>
        <v>#N/A</v>
      </c>
      <c r="W578" s="8" t="e">
        <f ca="1"/>
        <v>#N/A</v>
      </c>
      <c r="X578" s="14" t="e">
        <f ca="1"/>
        <v>#N/A</v>
      </c>
    </row>
    <row r="579" spans="19:24" ht="15.75" customHeight="1" x14ac:dyDescent="0.25">
      <c r="S579" s="14" t="str">
        <f ca="1">IFERROR(__xludf.DUMMYFUNCTION("""COMPUTED_VALUE"""),"")</f>
        <v/>
      </c>
      <c r="T579" s="14" t="e">
        <f ca="1"/>
        <v>#N/A</v>
      </c>
      <c r="U579" s="14" t="e">
        <f ca="1"/>
        <v>#N/A</v>
      </c>
      <c r="V579" s="14" t="e">
        <f ca="1"/>
        <v>#N/A</v>
      </c>
      <c r="W579" s="8" t="e">
        <f ca="1"/>
        <v>#N/A</v>
      </c>
      <c r="X579" s="14" t="e">
        <f ca="1"/>
        <v>#N/A</v>
      </c>
    </row>
    <row r="580" spans="19:24" ht="15.75" customHeight="1" x14ac:dyDescent="0.25">
      <c r="S580" s="14" t="str">
        <f ca="1">IFERROR(__xludf.DUMMYFUNCTION("""COMPUTED_VALUE"""),"")</f>
        <v/>
      </c>
      <c r="T580" s="14" t="e">
        <f ca="1"/>
        <v>#N/A</v>
      </c>
      <c r="U580" s="14" t="e">
        <f ca="1"/>
        <v>#N/A</v>
      </c>
      <c r="V580" s="14" t="e">
        <f ca="1"/>
        <v>#N/A</v>
      </c>
      <c r="W580" s="8" t="e">
        <f ca="1"/>
        <v>#N/A</v>
      </c>
      <c r="X580" s="14" t="e">
        <f ca="1"/>
        <v>#N/A</v>
      </c>
    </row>
    <row r="581" spans="19:24" ht="15.75" customHeight="1" x14ac:dyDescent="0.25">
      <c r="S581" s="14" t="str">
        <f ca="1">IFERROR(__xludf.DUMMYFUNCTION("""COMPUTED_VALUE"""),"")</f>
        <v/>
      </c>
      <c r="T581" s="14" t="e">
        <f ca="1"/>
        <v>#N/A</v>
      </c>
      <c r="U581" s="14" t="e">
        <f ca="1"/>
        <v>#N/A</v>
      </c>
      <c r="V581" s="14" t="e">
        <f ca="1"/>
        <v>#N/A</v>
      </c>
      <c r="W581" s="8" t="e">
        <f ca="1"/>
        <v>#N/A</v>
      </c>
      <c r="X581" s="14" t="e">
        <f ca="1"/>
        <v>#N/A</v>
      </c>
    </row>
    <row r="582" spans="19:24" ht="15.75" customHeight="1" x14ac:dyDescent="0.25">
      <c r="S582" s="14" t="str">
        <f ca="1">IFERROR(__xludf.DUMMYFUNCTION("""COMPUTED_VALUE"""),"")</f>
        <v/>
      </c>
      <c r="T582" s="14" t="e">
        <f ca="1"/>
        <v>#N/A</v>
      </c>
      <c r="U582" s="14" t="e">
        <f ca="1"/>
        <v>#N/A</v>
      </c>
      <c r="V582" s="14" t="e">
        <f ca="1"/>
        <v>#N/A</v>
      </c>
      <c r="W582" s="8" t="e">
        <f ca="1"/>
        <v>#N/A</v>
      </c>
      <c r="X582" s="14" t="e">
        <f ca="1"/>
        <v>#N/A</v>
      </c>
    </row>
    <row r="583" spans="19:24" ht="15.75" customHeight="1" x14ac:dyDescent="0.25">
      <c r="S583" s="14" t="str">
        <f ca="1">IFERROR(__xludf.DUMMYFUNCTION("""COMPUTED_VALUE"""),"")</f>
        <v/>
      </c>
      <c r="T583" s="14" t="e">
        <f ca="1"/>
        <v>#N/A</v>
      </c>
      <c r="U583" s="14" t="e">
        <f ca="1"/>
        <v>#N/A</v>
      </c>
      <c r="V583" s="14" t="e">
        <f ca="1"/>
        <v>#N/A</v>
      </c>
      <c r="W583" s="8" t="e">
        <f ca="1"/>
        <v>#N/A</v>
      </c>
      <c r="X583" s="14" t="e">
        <f ca="1"/>
        <v>#N/A</v>
      </c>
    </row>
    <row r="584" spans="19:24" ht="15.75" customHeight="1" x14ac:dyDescent="0.25">
      <c r="S584" s="14" t="str">
        <f ca="1">IFERROR(__xludf.DUMMYFUNCTION("""COMPUTED_VALUE"""),"")</f>
        <v/>
      </c>
      <c r="T584" s="14" t="e">
        <f ca="1"/>
        <v>#N/A</v>
      </c>
      <c r="U584" s="14" t="e">
        <f ca="1"/>
        <v>#N/A</v>
      </c>
      <c r="V584" s="14" t="e">
        <f ca="1"/>
        <v>#N/A</v>
      </c>
      <c r="W584" s="8" t="e">
        <f ca="1"/>
        <v>#N/A</v>
      </c>
      <c r="X584" s="14" t="e">
        <f ca="1"/>
        <v>#N/A</v>
      </c>
    </row>
    <row r="585" spans="19:24" ht="15.75" customHeight="1" x14ac:dyDescent="0.25">
      <c r="S585" s="14" t="str">
        <f ca="1">IFERROR(__xludf.DUMMYFUNCTION("""COMPUTED_VALUE"""),"")</f>
        <v/>
      </c>
      <c r="T585" s="14" t="e">
        <f ca="1"/>
        <v>#N/A</v>
      </c>
      <c r="U585" s="14" t="e">
        <f ca="1"/>
        <v>#N/A</v>
      </c>
      <c r="V585" s="14" t="e">
        <f ca="1"/>
        <v>#N/A</v>
      </c>
      <c r="W585" s="8" t="e">
        <f ca="1"/>
        <v>#N/A</v>
      </c>
      <c r="X585" s="14" t="e">
        <f ca="1"/>
        <v>#N/A</v>
      </c>
    </row>
    <row r="586" spans="19:24" ht="15.75" customHeight="1" x14ac:dyDescent="0.25">
      <c r="S586" s="14" t="str">
        <f ca="1">IFERROR(__xludf.DUMMYFUNCTION("""COMPUTED_VALUE"""),"")</f>
        <v/>
      </c>
      <c r="T586" s="14" t="e">
        <f ca="1"/>
        <v>#N/A</v>
      </c>
      <c r="U586" s="14" t="e">
        <f ca="1"/>
        <v>#N/A</v>
      </c>
      <c r="V586" s="14" t="e">
        <f ca="1"/>
        <v>#N/A</v>
      </c>
      <c r="W586" s="8" t="e">
        <f ca="1"/>
        <v>#N/A</v>
      </c>
      <c r="X586" s="14" t="e">
        <f ca="1"/>
        <v>#N/A</v>
      </c>
    </row>
    <row r="587" spans="19:24" ht="15.75" customHeight="1" x14ac:dyDescent="0.25">
      <c r="S587" s="14" t="str">
        <f ca="1">IFERROR(__xludf.DUMMYFUNCTION("""COMPUTED_VALUE"""),"")</f>
        <v/>
      </c>
      <c r="T587" s="14" t="e">
        <f ca="1"/>
        <v>#N/A</v>
      </c>
      <c r="U587" s="14" t="e">
        <f ca="1"/>
        <v>#N/A</v>
      </c>
      <c r="V587" s="14" t="e">
        <f ca="1"/>
        <v>#N/A</v>
      </c>
      <c r="W587" s="8" t="e">
        <f ca="1"/>
        <v>#N/A</v>
      </c>
      <c r="X587" s="14" t="e">
        <f ca="1"/>
        <v>#N/A</v>
      </c>
    </row>
    <row r="588" spans="19:24" ht="15.75" customHeight="1" x14ac:dyDescent="0.25">
      <c r="S588" s="14" t="str">
        <f ca="1">IFERROR(__xludf.DUMMYFUNCTION("""COMPUTED_VALUE"""),"")</f>
        <v/>
      </c>
      <c r="T588" s="14" t="e">
        <f ca="1"/>
        <v>#N/A</v>
      </c>
      <c r="U588" s="14" t="e">
        <f ca="1"/>
        <v>#N/A</v>
      </c>
      <c r="V588" s="14" t="e">
        <f ca="1"/>
        <v>#N/A</v>
      </c>
      <c r="W588" s="8" t="e">
        <f ca="1"/>
        <v>#N/A</v>
      </c>
      <c r="X588" s="14" t="e">
        <f ca="1"/>
        <v>#N/A</v>
      </c>
    </row>
    <row r="589" spans="19:24" ht="15.75" customHeight="1" x14ac:dyDescent="0.25">
      <c r="S589" s="14" t="str">
        <f ca="1">IFERROR(__xludf.DUMMYFUNCTION("""COMPUTED_VALUE"""),"")</f>
        <v/>
      </c>
      <c r="T589" s="14" t="e">
        <f ca="1"/>
        <v>#N/A</v>
      </c>
      <c r="U589" s="14" t="e">
        <f ca="1"/>
        <v>#N/A</v>
      </c>
      <c r="V589" s="14" t="e">
        <f ca="1"/>
        <v>#N/A</v>
      </c>
      <c r="W589" s="8" t="e">
        <f ca="1"/>
        <v>#N/A</v>
      </c>
      <c r="X589" s="14" t="e">
        <f ca="1"/>
        <v>#N/A</v>
      </c>
    </row>
    <row r="590" spans="19:24" ht="15.75" customHeight="1" x14ac:dyDescent="0.25">
      <c r="S590" s="14" t="str">
        <f ca="1">IFERROR(__xludf.DUMMYFUNCTION("""COMPUTED_VALUE"""),"")</f>
        <v/>
      </c>
      <c r="T590" s="14" t="e">
        <f ca="1"/>
        <v>#N/A</v>
      </c>
      <c r="U590" s="14" t="e">
        <f ca="1"/>
        <v>#N/A</v>
      </c>
      <c r="V590" s="14" t="e">
        <f ca="1"/>
        <v>#N/A</v>
      </c>
      <c r="W590" s="8" t="e">
        <f ca="1"/>
        <v>#N/A</v>
      </c>
      <c r="X590" s="14" t="e">
        <f ca="1"/>
        <v>#N/A</v>
      </c>
    </row>
    <row r="591" spans="19:24" ht="15.75" customHeight="1" x14ac:dyDescent="0.25">
      <c r="S591" s="14" t="str">
        <f ca="1">IFERROR(__xludf.DUMMYFUNCTION("""COMPUTED_VALUE"""),"")</f>
        <v/>
      </c>
      <c r="T591" s="14" t="e">
        <f ca="1"/>
        <v>#N/A</v>
      </c>
      <c r="U591" s="14" t="e">
        <f ca="1"/>
        <v>#N/A</v>
      </c>
      <c r="V591" s="14" t="e">
        <f ca="1"/>
        <v>#N/A</v>
      </c>
      <c r="W591" s="8" t="e">
        <f ca="1"/>
        <v>#N/A</v>
      </c>
      <c r="X591" s="14" t="e">
        <f ca="1"/>
        <v>#N/A</v>
      </c>
    </row>
    <row r="592" spans="19:24" ht="15.75" customHeight="1" x14ac:dyDescent="0.25">
      <c r="S592" s="14" t="str">
        <f ca="1">IFERROR(__xludf.DUMMYFUNCTION("""COMPUTED_VALUE"""),"")</f>
        <v/>
      </c>
      <c r="T592" s="14" t="e">
        <f ca="1"/>
        <v>#N/A</v>
      </c>
      <c r="U592" s="14" t="e">
        <f ca="1"/>
        <v>#N/A</v>
      </c>
      <c r="V592" s="14" t="e">
        <f ca="1"/>
        <v>#N/A</v>
      </c>
      <c r="W592" s="8" t="e">
        <f ca="1"/>
        <v>#N/A</v>
      </c>
      <c r="X592" s="14" t="e">
        <f ca="1"/>
        <v>#N/A</v>
      </c>
    </row>
    <row r="593" spans="19:24" ht="15.75" customHeight="1" x14ac:dyDescent="0.25">
      <c r="S593" s="14" t="str">
        <f ca="1">IFERROR(__xludf.DUMMYFUNCTION("""COMPUTED_VALUE"""),"")</f>
        <v/>
      </c>
      <c r="T593" s="14" t="e">
        <f ca="1"/>
        <v>#N/A</v>
      </c>
      <c r="U593" s="14" t="e">
        <f ca="1"/>
        <v>#N/A</v>
      </c>
      <c r="V593" s="14" t="e">
        <f ca="1"/>
        <v>#N/A</v>
      </c>
      <c r="W593" s="8" t="e">
        <f ca="1"/>
        <v>#N/A</v>
      </c>
      <c r="X593" s="14" t="e">
        <f ca="1"/>
        <v>#N/A</v>
      </c>
    </row>
    <row r="594" spans="19:24" ht="15.75" customHeight="1" x14ac:dyDescent="0.25">
      <c r="S594" s="14" t="str">
        <f ca="1">IFERROR(__xludf.DUMMYFUNCTION("""COMPUTED_VALUE"""),"")</f>
        <v/>
      </c>
      <c r="T594" s="14" t="e">
        <f ca="1"/>
        <v>#N/A</v>
      </c>
      <c r="U594" s="14" t="e">
        <f ca="1"/>
        <v>#N/A</v>
      </c>
      <c r="V594" s="14" t="e">
        <f ca="1"/>
        <v>#N/A</v>
      </c>
      <c r="W594" s="8" t="e">
        <f ca="1"/>
        <v>#N/A</v>
      </c>
      <c r="X594" s="14" t="e">
        <f ca="1"/>
        <v>#N/A</v>
      </c>
    </row>
    <row r="595" spans="19:24" ht="15.75" customHeight="1" x14ac:dyDescent="0.25">
      <c r="S595" s="14" t="str">
        <f ca="1">IFERROR(__xludf.DUMMYFUNCTION("""COMPUTED_VALUE"""),"")</f>
        <v/>
      </c>
      <c r="T595" s="14" t="e">
        <f ca="1"/>
        <v>#N/A</v>
      </c>
      <c r="U595" s="14" t="e">
        <f ca="1"/>
        <v>#N/A</v>
      </c>
      <c r="V595" s="14" t="e">
        <f ca="1"/>
        <v>#N/A</v>
      </c>
      <c r="W595" s="8" t="e">
        <f ca="1"/>
        <v>#N/A</v>
      </c>
      <c r="X595" s="14" t="e">
        <f ca="1"/>
        <v>#N/A</v>
      </c>
    </row>
    <row r="596" spans="19:24" ht="15.75" customHeight="1" x14ac:dyDescent="0.25">
      <c r="S596" s="14" t="str">
        <f ca="1">IFERROR(__xludf.DUMMYFUNCTION("""COMPUTED_VALUE"""),"")</f>
        <v/>
      </c>
      <c r="T596" s="14" t="e">
        <f ca="1"/>
        <v>#N/A</v>
      </c>
      <c r="U596" s="14" t="e">
        <f ca="1"/>
        <v>#N/A</v>
      </c>
      <c r="V596" s="14" t="e">
        <f ca="1"/>
        <v>#N/A</v>
      </c>
      <c r="W596" s="8" t="e">
        <f ca="1"/>
        <v>#N/A</v>
      </c>
      <c r="X596" s="14" t="e">
        <f ca="1"/>
        <v>#N/A</v>
      </c>
    </row>
    <row r="597" spans="19:24" ht="15.75" customHeight="1" x14ac:dyDescent="0.25">
      <c r="S597" s="14" t="str">
        <f ca="1">IFERROR(__xludf.DUMMYFUNCTION("""COMPUTED_VALUE"""),"")</f>
        <v/>
      </c>
      <c r="T597" s="14" t="e">
        <f ca="1"/>
        <v>#N/A</v>
      </c>
      <c r="U597" s="14" t="e">
        <f ca="1"/>
        <v>#N/A</v>
      </c>
      <c r="V597" s="14" t="e">
        <f ca="1"/>
        <v>#N/A</v>
      </c>
      <c r="W597" s="8" t="e">
        <f ca="1"/>
        <v>#N/A</v>
      </c>
      <c r="X597" s="14" t="e">
        <f ca="1"/>
        <v>#N/A</v>
      </c>
    </row>
    <row r="598" spans="19:24" ht="15.75" customHeight="1" x14ac:dyDescent="0.25">
      <c r="S598" s="14" t="str">
        <f ca="1">IFERROR(__xludf.DUMMYFUNCTION("""COMPUTED_VALUE"""),"")</f>
        <v/>
      </c>
      <c r="T598" s="14" t="e">
        <f ca="1"/>
        <v>#N/A</v>
      </c>
      <c r="U598" s="14" t="e">
        <f ca="1"/>
        <v>#N/A</v>
      </c>
      <c r="V598" s="14" t="e">
        <f ca="1"/>
        <v>#N/A</v>
      </c>
      <c r="W598" s="8" t="e">
        <f ca="1"/>
        <v>#N/A</v>
      </c>
      <c r="X598" s="14" t="e">
        <f ca="1"/>
        <v>#N/A</v>
      </c>
    </row>
    <row r="599" spans="19:24" ht="15.75" customHeight="1" x14ac:dyDescent="0.25">
      <c r="S599" s="14" t="str">
        <f ca="1">IFERROR(__xludf.DUMMYFUNCTION("""COMPUTED_VALUE"""),"")</f>
        <v/>
      </c>
      <c r="T599" s="14" t="e">
        <f ca="1"/>
        <v>#N/A</v>
      </c>
      <c r="U599" s="14" t="e">
        <f ca="1"/>
        <v>#N/A</v>
      </c>
      <c r="V599" s="14" t="e">
        <f ca="1"/>
        <v>#N/A</v>
      </c>
      <c r="W599" s="8" t="e">
        <f ca="1"/>
        <v>#N/A</v>
      </c>
      <c r="X599" s="14" t="e">
        <f ca="1"/>
        <v>#N/A</v>
      </c>
    </row>
    <row r="600" spans="19:24" ht="15.75" customHeight="1" x14ac:dyDescent="0.25">
      <c r="S600" s="14" t="str">
        <f ca="1">IFERROR(__xludf.DUMMYFUNCTION("""COMPUTED_VALUE"""),"")</f>
        <v/>
      </c>
      <c r="T600" s="14" t="e">
        <f ca="1"/>
        <v>#N/A</v>
      </c>
      <c r="U600" s="14" t="e">
        <f ca="1"/>
        <v>#N/A</v>
      </c>
      <c r="V600" s="14" t="e">
        <f ca="1"/>
        <v>#N/A</v>
      </c>
      <c r="W600" s="8" t="e">
        <f ca="1"/>
        <v>#N/A</v>
      </c>
      <c r="X600" s="14" t="e">
        <f ca="1"/>
        <v>#N/A</v>
      </c>
    </row>
    <row r="601" spans="19:24" ht="15.75" customHeight="1" x14ac:dyDescent="0.25">
      <c r="S601" s="14" t="str">
        <f ca="1">IFERROR(__xludf.DUMMYFUNCTION("""COMPUTED_VALUE"""),"")</f>
        <v/>
      </c>
      <c r="T601" s="14" t="e">
        <f ca="1"/>
        <v>#N/A</v>
      </c>
      <c r="U601" s="14" t="e">
        <f ca="1"/>
        <v>#N/A</v>
      </c>
      <c r="V601" s="14" t="e">
        <f ca="1"/>
        <v>#N/A</v>
      </c>
      <c r="W601" s="8" t="e">
        <f ca="1"/>
        <v>#N/A</v>
      </c>
      <c r="X601" s="14" t="e">
        <f ca="1"/>
        <v>#N/A</v>
      </c>
    </row>
    <row r="602" spans="19:24" ht="15.75" customHeight="1" x14ac:dyDescent="0.25">
      <c r="S602" s="14" t="str">
        <f ca="1">IFERROR(__xludf.DUMMYFUNCTION("""COMPUTED_VALUE"""),"")</f>
        <v/>
      </c>
      <c r="T602" s="14" t="e">
        <f ca="1"/>
        <v>#N/A</v>
      </c>
      <c r="U602" s="14" t="e">
        <f ca="1"/>
        <v>#N/A</v>
      </c>
      <c r="V602" s="14" t="e">
        <f ca="1"/>
        <v>#N/A</v>
      </c>
      <c r="W602" s="8" t="e">
        <f ca="1"/>
        <v>#N/A</v>
      </c>
      <c r="X602" s="14" t="e">
        <f ca="1"/>
        <v>#N/A</v>
      </c>
    </row>
    <row r="603" spans="19:24" ht="15.75" customHeight="1" x14ac:dyDescent="0.25">
      <c r="S603" s="14" t="str">
        <f ca="1">IFERROR(__xludf.DUMMYFUNCTION("""COMPUTED_VALUE"""),"")</f>
        <v/>
      </c>
      <c r="T603" s="14" t="e">
        <f ca="1"/>
        <v>#N/A</v>
      </c>
      <c r="U603" s="14" t="e">
        <f ca="1"/>
        <v>#N/A</v>
      </c>
      <c r="V603" s="14" t="e">
        <f ca="1"/>
        <v>#N/A</v>
      </c>
      <c r="W603" s="8" t="e">
        <f ca="1"/>
        <v>#N/A</v>
      </c>
      <c r="X603" s="14" t="e">
        <f ca="1"/>
        <v>#N/A</v>
      </c>
    </row>
    <row r="604" spans="19:24" ht="15.75" customHeight="1" x14ac:dyDescent="0.25">
      <c r="S604" s="14" t="str">
        <f ca="1">IFERROR(__xludf.DUMMYFUNCTION("""COMPUTED_VALUE"""),"")</f>
        <v/>
      </c>
      <c r="T604" s="14" t="e">
        <f ca="1"/>
        <v>#N/A</v>
      </c>
      <c r="U604" s="14" t="e">
        <f ca="1"/>
        <v>#N/A</v>
      </c>
      <c r="V604" s="14" t="e">
        <f ca="1"/>
        <v>#N/A</v>
      </c>
      <c r="W604" s="8" t="e">
        <f ca="1"/>
        <v>#N/A</v>
      </c>
      <c r="X604" s="14" t="e">
        <f ca="1"/>
        <v>#N/A</v>
      </c>
    </row>
    <row r="605" spans="19:24" ht="15.75" customHeight="1" x14ac:dyDescent="0.25">
      <c r="S605" s="14" t="str">
        <f ca="1">IFERROR(__xludf.DUMMYFUNCTION("""COMPUTED_VALUE"""),"")</f>
        <v/>
      </c>
      <c r="T605" s="14" t="e">
        <f ca="1"/>
        <v>#N/A</v>
      </c>
      <c r="U605" s="14" t="e">
        <f ca="1"/>
        <v>#N/A</v>
      </c>
      <c r="V605" s="14" t="e">
        <f ca="1"/>
        <v>#N/A</v>
      </c>
      <c r="W605" s="8" t="e">
        <f ca="1"/>
        <v>#N/A</v>
      </c>
      <c r="X605" s="14" t="e">
        <f ca="1"/>
        <v>#N/A</v>
      </c>
    </row>
    <row r="606" spans="19:24" ht="15.75" customHeight="1" x14ac:dyDescent="0.25">
      <c r="S606" s="14" t="str">
        <f ca="1">IFERROR(__xludf.DUMMYFUNCTION("""COMPUTED_VALUE"""),"")</f>
        <v/>
      </c>
      <c r="T606" s="14" t="e">
        <f ca="1"/>
        <v>#N/A</v>
      </c>
      <c r="U606" s="14" t="e">
        <f ca="1"/>
        <v>#N/A</v>
      </c>
      <c r="V606" s="14" t="e">
        <f ca="1"/>
        <v>#N/A</v>
      </c>
      <c r="W606" s="8" t="e">
        <f ca="1"/>
        <v>#N/A</v>
      </c>
      <c r="X606" s="14" t="e">
        <f ca="1"/>
        <v>#N/A</v>
      </c>
    </row>
    <row r="607" spans="19:24" ht="15.75" customHeight="1" x14ac:dyDescent="0.25">
      <c r="S607" s="14" t="str">
        <f ca="1">IFERROR(__xludf.DUMMYFUNCTION("""COMPUTED_VALUE"""),"")</f>
        <v/>
      </c>
      <c r="T607" s="14" t="e">
        <f ca="1"/>
        <v>#N/A</v>
      </c>
      <c r="U607" s="14" t="e">
        <f ca="1"/>
        <v>#N/A</v>
      </c>
      <c r="V607" s="14" t="e">
        <f ca="1"/>
        <v>#N/A</v>
      </c>
      <c r="W607" s="8" t="e">
        <f ca="1"/>
        <v>#N/A</v>
      </c>
      <c r="X607" s="14" t="e">
        <f ca="1"/>
        <v>#N/A</v>
      </c>
    </row>
    <row r="608" spans="19:24" ht="15.75" customHeight="1" x14ac:dyDescent="0.25">
      <c r="S608" s="14" t="str">
        <f ca="1">IFERROR(__xludf.DUMMYFUNCTION("""COMPUTED_VALUE"""),"")</f>
        <v/>
      </c>
      <c r="T608" s="14" t="e">
        <f ca="1"/>
        <v>#N/A</v>
      </c>
      <c r="U608" s="14" t="e">
        <f ca="1"/>
        <v>#N/A</v>
      </c>
      <c r="V608" s="14" t="e">
        <f ca="1"/>
        <v>#N/A</v>
      </c>
      <c r="W608" s="8" t="e">
        <f ca="1"/>
        <v>#N/A</v>
      </c>
      <c r="X608" s="14" t="e">
        <f ca="1"/>
        <v>#N/A</v>
      </c>
    </row>
    <row r="609" spans="19:24" ht="15.75" customHeight="1" x14ac:dyDescent="0.25">
      <c r="S609" s="14" t="str">
        <f ca="1">IFERROR(__xludf.DUMMYFUNCTION("""COMPUTED_VALUE"""),"")</f>
        <v/>
      </c>
      <c r="T609" s="14" t="e">
        <f ca="1"/>
        <v>#N/A</v>
      </c>
      <c r="U609" s="14" t="e">
        <f ca="1"/>
        <v>#N/A</v>
      </c>
      <c r="V609" s="14" t="e">
        <f ca="1"/>
        <v>#N/A</v>
      </c>
      <c r="W609" s="8" t="e">
        <f ca="1"/>
        <v>#N/A</v>
      </c>
      <c r="X609" s="14" t="e">
        <f ca="1"/>
        <v>#N/A</v>
      </c>
    </row>
    <row r="610" spans="19:24" ht="15.75" customHeight="1" x14ac:dyDescent="0.25">
      <c r="S610" s="14" t="str">
        <f ca="1">IFERROR(__xludf.DUMMYFUNCTION("""COMPUTED_VALUE"""),"")</f>
        <v/>
      </c>
      <c r="T610" s="14" t="e">
        <f ca="1"/>
        <v>#N/A</v>
      </c>
      <c r="U610" s="14" t="e">
        <f ca="1"/>
        <v>#N/A</v>
      </c>
      <c r="V610" s="14" t="e">
        <f ca="1"/>
        <v>#N/A</v>
      </c>
      <c r="W610" s="8" t="e">
        <f ca="1"/>
        <v>#N/A</v>
      </c>
      <c r="X610" s="14" t="e">
        <f ca="1"/>
        <v>#N/A</v>
      </c>
    </row>
    <row r="611" spans="19:24" ht="15.75" customHeight="1" x14ac:dyDescent="0.25">
      <c r="S611" s="14" t="str">
        <f ca="1">IFERROR(__xludf.DUMMYFUNCTION("""COMPUTED_VALUE"""),"")</f>
        <v/>
      </c>
      <c r="T611" s="14" t="e">
        <f ca="1"/>
        <v>#N/A</v>
      </c>
      <c r="U611" s="14" t="e">
        <f ca="1"/>
        <v>#N/A</v>
      </c>
      <c r="V611" s="14" t="e">
        <f ca="1"/>
        <v>#N/A</v>
      </c>
      <c r="W611" s="8" t="e">
        <f ca="1"/>
        <v>#N/A</v>
      </c>
      <c r="X611" s="14" t="e">
        <f ca="1"/>
        <v>#N/A</v>
      </c>
    </row>
    <row r="612" spans="19:24" ht="15.75" customHeight="1" x14ac:dyDescent="0.25">
      <c r="S612" s="14" t="str">
        <f ca="1">IFERROR(__xludf.DUMMYFUNCTION("""COMPUTED_VALUE"""),"")</f>
        <v/>
      </c>
      <c r="T612" s="14" t="e">
        <f ca="1"/>
        <v>#N/A</v>
      </c>
      <c r="U612" s="14" t="e">
        <f ca="1"/>
        <v>#N/A</v>
      </c>
      <c r="V612" s="14" t="e">
        <f ca="1"/>
        <v>#N/A</v>
      </c>
      <c r="W612" s="8" t="e">
        <f ca="1"/>
        <v>#N/A</v>
      </c>
      <c r="X612" s="14" t="e">
        <f ca="1"/>
        <v>#N/A</v>
      </c>
    </row>
    <row r="613" spans="19:24" ht="15.75" customHeight="1" x14ac:dyDescent="0.25">
      <c r="S613" s="14" t="str">
        <f ca="1">IFERROR(__xludf.DUMMYFUNCTION("""COMPUTED_VALUE"""),"")</f>
        <v/>
      </c>
      <c r="T613" s="14" t="e">
        <f ca="1"/>
        <v>#N/A</v>
      </c>
      <c r="U613" s="14" t="e">
        <f ca="1"/>
        <v>#N/A</v>
      </c>
      <c r="V613" s="14" t="e">
        <f ca="1"/>
        <v>#N/A</v>
      </c>
      <c r="W613" s="8" t="e">
        <f ca="1"/>
        <v>#N/A</v>
      </c>
      <c r="X613" s="14" t="e">
        <f ca="1"/>
        <v>#N/A</v>
      </c>
    </row>
    <row r="614" spans="19:24" ht="15.75" customHeight="1" x14ac:dyDescent="0.25">
      <c r="S614" s="14" t="str">
        <f ca="1">IFERROR(__xludf.DUMMYFUNCTION("""COMPUTED_VALUE"""),"")</f>
        <v/>
      </c>
      <c r="T614" s="14" t="e">
        <f ca="1"/>
        <v>#N/A</v>
      </c>
      <c r="U614" s="14" t="e">
        <f ca="1"/>
        <v>#N/A</v>
      </c>
      <c r="V614" s="14" t="e">
        <f ca="1"/>
        <v>#N/A</v>
      </c>
      <c r="W614" s="8" t="e">
        <f ca="1"/>
        <v>#N/A</v>
      </c>
      <c r="X614" s="14" t="e">
        <f ca="1"/>
        <v>#N/A</v>
      </c>
    </row>
    <row r="615" spans="19:24" ht="15.75" customHeight="1" x14ac:dyDescent="0.25">
      <c r="S615" s="14" t="str">
        <f ca="1">IFERROR(__xludf.DUMMYFUNCTION("""COMPUTED_VALUE"""),"")</f>
        <v/>
      </c>
      <c r="T615" s="14" t="e">
        <f ca="1"/>
        <v>#N/A</v>
      </c>
      <c r="U615" s="14" t="e">
        <f ca="1"/>
        <v>#N/A</v>
      </c>
      <c r="V615" s="14" t="e">
        <f ca="1"/>
        <v>#N/A</v>
      </c>
      <c r="W615" s="8" t="e">
        <f ca="1"/>
        <v>#N/A</v>
      </c>
      <c r="X615" s="14" t="e">
        <f ca="1"/>
        <v>#N/A</v>
      </c>
    </row>
    <row r="616" spans="19:24" ht="15.75" customHeight="1" x14ac:dyDescent="0.25">
      <c r="S616" s="14" t="str">
        <f ca="1">IFERROR(__xludf.DUMMYFUNCTION("""COMPUTED_VALUE"""),"")</f>
        <v/>
      </c>
      <c r="T616" s="14" t="e">
        <f ca="1"/>
        <v>#N/A</v>
      </c>
      <c r="U616" s="14" t="e">
        <f ca="1"/>
        <v>#N/A</v>
      </c>
      <c r="V616" s="14" t="e">
        <f ca="1"/>
        <v>#N/A</v>
      </c>
      <c r="W616" s="8" t="e">
        <f ca="1"/>
        <v>#N/A</v>
      </c>
      <c r="X616" s="14" t="e">
        <f ca="1"/>
        <v>#N/A</v>
      </c>
    </row>
    <row r="617" spans="19:24" ht="15.75" customHeight="1" x14ac:dyDescent="0.25">
      <c r="S617" s="14" t="str">
        <f ca="1">IFERROR(__xludf.DUMMYFUNCTION("""COMPUTED_VALUE"""),"")</f>
        <v/>
      </c>
      <c r="T617" s="14" t="e">
        <f ca="1"/>
        <v>#N/A</v>
      </c>
      <c r="U617" s="14" t="e">
        <f ca="1"/>
        <v>#N/A</v>
      </c>
      <c r="V617" s="14" t="e">
        <f ca="1"/>
        <v>#N/A</v>
      </c>
      <c r="W617" s="8" t="e">
        <f ca="1"/>
        <v>#N/A</v>
      </c>
      <c r="X617" s="14" t="e">
        <f ca="1"/>
        <v>#N/A</v>
      </c>
    </row>
    <row r="618" spans="19:24" ht="15.75" customHeight="1" x14ac:dyDescent="0.25">
      <c r="S618" s="14" t="str">
        <f ca="1">IFERROR(__xludf.DUMMYFUNCTION("""COMPUTED_VALUE"""),"")</f>
        <v/>
      </c>
      <c r="T618" s="14" t="e">
        <f ca="1"/>
        <v>#N/A</v>
      </c>
      <c r="U618" s="14" t="e">
        <f ca="1"/>
        <v>#N/A</v>
      </c>
      <c r="V618" s="14" t="e">
        <f ca="1"/>
        <v>#N/A</v>
      </c>
      <c r="W618" s="8" t="e">
        <f ca="1"/>
        <v>#N/A</v>
      </c>
      <c r="X618" s="14" t="e">
        <f ca="1"/>
        <v>#N/A</v>
      </c>
    </row>
    <row r="619" spans="19:24" ht="15.75" customHeight="1" x14ac:dyDescent="0.25">
      <c r="S619" s="14" t="str">
        <f ca="1">IFERROR(__xludf.DUMMYFUNCTION("""COMPUTED_VALUE"""),"")</f>
        <v/>
      </c>
      <c r="T619" s="14" t="e">
        <f ca="1"/>
        <v>#N/A</v>
      </c>
      <c r="U619" s="14" t="e">
        <f ca="1"/>
        <v>#N/A</v>
      </c>
      <c r="V619" s="14" t="e">
        <f ca="1"/>
        <v>#N/A</v>
      </c>
      <c r="W619" s="8" t="e">
        <f ca="1"/>
        <v>#N/A</v>
      </c>
      <c r="X619" s="14" t="e">
        <f ca="1"/>
        <v>#N/A</v>
      </c>
    </row>
    <row r="620" spans="19:24" ht="15.75" customHeight="1" x14ac:dyDescent="0.25">
      <c r="S620" s="14" t="str">
        <f ca="1">IFERROR(__xludf.DUMMYFUNCTION("""COMPUTED_VALUE"""),"")</f>
        <v/>
      </c>
      <c r="T620" s="14" t="e">
        <f ca="1"/>
        <v>#N/A</v>
      </c>
      <c r="U620" s="14" t="e">
        <f ca="1"/>
        <v>#N/A</v>
      </c>
      <c r="V620" s="14" t="e">
        <f ca="1"/>
        <v>#N/A</v>
      </c>
      <c r="W620" s="8" t="e">
        <f ca="1"/>
        <v>#N/A</v>
      </c>
      <c r="X620" s="14" t="e">
        <f ca="1"/>
        <v>#N/A</v>
      </c>
    </row>
    <row r="621" spans="19:24" ht="15.75" customHeight="1" x14ac:dyDescent="0.25">
      <c r="S621" s="14" t="str">
        <f ca="1">IFERROR(__xludf.DUMMYFUNCTION("""COMPUTED_VALUE"""),"")</f>
        <v/>
      </c>
      <c r="T621" s="14" t="e">
        <f ca="1"/>
        <v>#N/A</v>
      </c>
      <c r="U621" s="14" t="e">
        <f ca="1"/>
        <v>#N/A</v>
      </c>
      <c r="V621" s="14" t="e">
        <f ca="1"/>
        <v>#N/A</v>
      </c>
      <c r="W621" s="8" t="e">
        <f ca="1"/>
        <v>#N/A</v>
      </c>
      <c r="X621" s="14" t="e">
        <f ca="1"/>
        <v>#N/A</v>
      </c>
    </row>
    <row r="622" spans="19:24" ht="15.75" customHeight="1" x14ac:dyDescent="0.25">
      <c r="S622" s="14" t="str">
        <f ca="1">IFERROR(__xludf.DUMMYFUNCTION("""COMPUTED_VALUE"""),"")</f>
        <v/>
      </c>
      <c r="T622" s="14" t="e">
        <f ca="1"/>
        <v>#N/A</v>
      </c>
      <c r="U622" s="14" t="e">
        <f ca="1"/>
        <v>#N/A</v>
      </c>
      <c r="V622" s="14" t="e">
        <f ca="1"/>
        <v>#N/A</v>
      </c>
      <c r="W622" s="8" t="e">
        <f ca="1"/>
        <v>#N/A</v>
      </c>
      <c r="X622" s="14" t="e">
        <f ca="1"/>
        <v>#N/A</v>
      </c>
    </row>
    <row r="623" spans="19:24" ht="15.75" customHeight="1" x14ac:dyDescent="0.25">
      <c r="S623" s="14" t="str">
        <f ca="1">IFERROR(__xludf.DUMMYFUNCTION("""COMPUTED_VALUE"""),"")</f>
        <v/>
      </c>
      <c r="T623" s="14" t="e">
        <f ca="1"/>
        <v>#N/A</v>
      </c>
      <c r="U623" s="14" t="e">
        <f ca="1"/>
        <v>#N/A</v>
      </c>
      <c r="V623" s="14" t="e">
        <f ca="1"/>
        <v>#N/A</v>
      </c>
      <c r="W623" s="8" t="e">
        <f ca="1"/>
        <v>#N/A</v>
      </c>
      <c r="X623" s="14" t="e">
        <f ca="1"/>
        <v>#N/A</v>
      </c>
    </row>
    <row r="624" spans="19:24" ht="15.75" customHeight="1" x14ac:dyDescent="0.25">
      <c r="S624" s="14" t="str">
        <f ca="1">IFERROR(__xludf.DUMMYFUNCTION("""COMPUTED_VALUE"""),"")</f>
        <v/>
      </c>
      <c r="T624" s="14" t="e">
        <f ca="1"/>
        <v>#N/A</v>
      </c>
      <c r="U624" s="14" t="e">
        <f ca="1"/>
        <v>#N/A</v>
      </c>
      <c r="V624" s="14" t="e">
        <f ca="1"/>
        <v>#N/A</v>
      </c>
      <c r="W624" s="8" t="e">
        <f ca="1"/>
        <v>#N/A</v>
      </c>
      <c r="X624" s="14" t="e">
        <f ca="1"/>
        <v>#N/A</v>
      </c>
    </row>
    <row r="625" spans="19:24" ht="15.75" customHeight="1" x14ac:dyDescent="0.25">
      <c r="S625" s="14" t="str">
        <f ca="1">IFERROR(__xludf.DUMMYFUNCTION("""COMPUTED_VALUE"""),"")</f>
        <v/>
      </c>
      <c r="T625" s="14" t="e">
        <f ca="1"/>
        <v>#N/A</v>
      </c>
      <c r="U625" s="14" t="e">
        <f ca="1"/>
        <v>#N/A</v>
      </c>
      <c r="V625" s="14" t="e">
        <f ca="1"/>
        <v>#N/A</v>
      </c>
      <c r="W625" s="8" t="e">
        <f ca="1"/>
        <v>#N/A</v>
      </c>
      <c r="X625" s="14" t="e">
        <f ca="1"/>
        <v>#N/A</v>
      </c>
    </row>
    <row r="626" spans="19:24" ht="15.75" customHeight="1" x14ac:dyDescent="0.25">
      <c r="S626" s="14" t="str">
        <f ca="1">IFERROR(__xludf.DUMMYFUNCTION("""COMPUTED_VALUE"""),"")</f>
        <v/>
      </c>
      <c r="T626" s="14" t="e">
        <f ca="1"/>
        <v>#N/A</v>
      </c>
      <c r="U626" s="14" t="e">
        <f ca="1"/>
        <v>#N/A</v>
      </c>
      <c r="V626" s="14" t="e">
        <f ca="1"/>
        <v>#N/A</v>
      </c>
      <c r="W626" s="8" t="e">
        <f ca="1"/>
        <v>#N/A</v>
      </c>
      <c r="X626" s="14" t="e">
        <f ca="1"/>
        <v>#N/A</v>
      </c>
    </row>
    <row r="627" spans="19:24" ht="15.75" customHeight="1" x14ac:dyDescent="0.25">
      <c r="S627" s="14" t="str">
        <f ca="1">IFERROR(__xludf.DUMMYFUNCTION("""COMPUTED_VALUE"""),"")</f>
        <v/>
      </c>
      <c r="T627" s="14" t="e">
        <f ca="1"/>
        <v>#N/A</v>
      </c>
      <c r="U627" s="14" t="e">
        <f ca="1"/>
        <v>#N/A</v>
      </c>
      <c r="V627" s="14" t="e">
        <f ca="1"/>
        <v>#N/A</v>
      </c>
      <c r="W627" s="8" t="e">
        <f ca="1"/>
        <v>#N/A</v>
      </c>
      <c r="X627" s="14" t="e">
        <f ca="1"/>
        <v>#N/A</v>
      </c>
    </row>
    <row r="628" spans="19:24" ht="15.75" customHeight="1" x14ac:dyDescent="0.25">
      <c r="S628" s="14" t="str">
        <f ca="1">IFERROR(__xludf.DUMMYFUNCTION("""COMPUTED_VALUE"""),"")</f>
        <v/>
      </c>
      <c r="T628" s="14" t="e">
        <f ca="1"/>
        <v>#N/A</v>
      </c>
      <c r="U628" s="14" t="e">
        <f ca="1"/>
        <v>#N/A</v>
      </c>
      <c r="V628" s="14" t="e">
        <f ca="1"/>
        <v>#N/A</v>
      </c>
      <c r="W628" s="8" t="e">
        <f ca="1"/>
        <v>#N/A</v>
      </c>
      <c r="X628" s="14" t="e">
        <f ca="1"/>
        <v>#N/A</v>
      </c>
    </row>
    <row r="629" spans="19:24" ht="15.75" customHeight="1" x14ac:dyDescent="0.25">
      <c r="S629" s="14" t="str">
        <f ca="1">IFERROR(__xludf.DUMMYFUNCTION("""COMPUTED_VALUE"""),"")</f>
        <v/>
      </c>
      <c r="T629" s="14" t="e">
        <f ca="1"/>
        <v>#N/A</v>
      </c>
      <c r="U629" s="14" t="e">
        <f ca="1"/>
        <v>#N/A</v>
      </c>
      <c r="V629" s="14" t="e">
        <f ca="1"/>
        <v>#N/A</v>
      </c>
      <c r="W629" s="8" t="e">
        <f ca="1"/>
        <v>#N/A</v>
      </c>
      <c r="X629" s="14" t="e">
        <f ca="1"/>
        <v>#N/A</v>
      </c>
    </row>
    <row r="630" spans="19:24" ht="15.75" customHeight="1" x14ac:dyDescent="0.25">
      <c r="S630" s="14" t="str">
        <f ca="1">IFERROR(__xludf.DUMMYFUNCTION("""COMPUTED_VALUE"""),"")</f>
        <v/>
      </c>
      <c r="T630" s="14" t="e">
        <f ca="1"/>
        <v>#N/A</v>
      </c>
      <c r="U630" s="14" t="e">
        <f ca="1"/>
        <v>#N/A</v>
      </c>
      <c r="V630" s="14" t="e">
        <f ca="1"/>
        <v>#N/A</v>
      </c>
      <c r="W630" s="8" t="e">
        <f ca="1"/>
        <v>#N/A</v>
      </c>
      <c r="X630" s="14" t="e">
        <f ca="1"/>
        <v>#N/A</v>
      </c>
    </row>
    <row r="631" spans="19:24" ht="15.75" customHeight="1" x14ac:dyDescent="0.25">
      <c r="S631" s="14" t="str">
        <f ca="1">IFERROR(__xludf.DUMMYFUNCTION("""COMPUTED_VALUE"""),"")</f>
        <v/>
      </c>
      <c r="T631" s="14" t="e">
        <f ca="1"/>
        <v>#N/A</v>
      </c>
      <c r="U631" s="14" t="e">
        <f ca="1"/>
        <v>#N/A</v>
      </c>
      <c r="V631" s="14" t="e">
        <f ca="1"/>
        <v>#N/A</v>
      </c>
      <c r="W631" s="8" t="e">
        <f ca="1"/>
        <v>#N/A</v>
      </c>
      <c r="X631" s="14" t="e">
        <f ca="1"/>
        <v>#N/A</v>
      </c>
    </row>
    <row r="632" spans="19:24" ht="15.75" customHeight="1" x14ac:dyDescent="0.25">
      <c r="S632" s="14" t="str">
        <f ca="1">IFERROR(__xludf.DUMMYFUNCTION("""COMPUTED_VALUE"""),"")</f>
        <v/>
      </c>
      <c r="T632" s="14" t="e">
        <f ca="1"/>
        <v>#N/A</v>
      </c>
      <c r="U632" s="14" t="e">
        <f ca="1"/>
        <v>#N/A</v>
      </c>
      <c r="V632" s="14" t="e">
        <f ca="1"/>
        <v>#N/A</v>
      </c>
      <c r="W632" s="8" t="e">
        <f ca="1"/>
        <v>#N/A</v>
      </c>
      <c r="X632" s="14" t="e">
        <f ca="1"/>
        <v>#N/A</v>
      </c>
    </row>
    <row r="633" spans="19:24" ht="15.75" customHeight="1" x14ac:dyDescent="0.25">
      <c r="S633" s="14" t="str">
        <f ca="1">IFERROR(__xludf.DUMMYFUNCTION("""COMPUTED_VALUE"""),"")</f>
        <v/>
      </c>
      <c r="T633" s="14" t="e">
        <f ca="1"/>
        <v>#N/A</v>
      </c>
      <c r="U633" s="14" t="e">
        <f ca="1"/>
        <v>#N/A</v>
      </c>
      <c r="V633" s="14" t="e">
        <f ca="1"/>
        <v>#N/A</v>
      </c>
      <c r="W633" s="8" t="e">
        <f ca="1"/>
        <v>#N/A</v>
      </c>
      <c r="X633" s="14" t="e">
        <f ca="1"/>
        <v>#N/A</v>
      </c>
    </row>
    <row r="634" spans="19:24" ht="15.75" customHeight="1" x14ac:dyDescent="0.25">
      <c r="S634" s="14" t="str">
        <f ca="1">IFERROR(__xludf.DUMMYFUNCTION("""COMPUTED_VALUE"""),"")</f>
        <v/>
      </c>
      <c r="T634" s="14" t="e">
        <f ca="1"/>
        <v>#N/A</v>
      </c>
      <c r="U634" s="14" t="e">
        <f ca="1"/>
        <v>#N/A</v>
      </c>
      <c r="V634" s="14" t="e">
        <f ca="1"/>
        <v>#N/A</v>
      </c>
      <c r="W634" s="8" t="e">
        <f ca="1"/>
        <v>#N/A</v>
      </c>
      <c r="X634" s="14" t="e">
        <f ca="1"/>
        <v>#N/A</v>
      </c>
    </row>
    <row r="635" spans="19:24" ht="15.75" customHeight="1" x14ac:dyDescent="0.25">
      <c r="S635" s="14" t="str">
        <f ca="1">IFERROR(__xludf.DUMMYFUNCTION("""COMPUTED_VALUE"""),"")</f>
        <v/>
      </c>
      <c r="T635" s="14" t="e">
        <f ca="1"/>
        <v>#N/A</v>
      </c>
      <c r="U635" s="14" t="e">
        <f ca="1"/>
        <v>#N/A</v>
      </c>
      <c r="V635" s="14" t="e">
        <f ca="1"/>
        <v>#N/A</v>
      </c>
      <c r="W635" s="8" t="e">
        <f ca="1"/>
        <v>#N/A</v>
      </c>
      <c r="X635" s="14" t="e">
        <f ca="1"/>
        <v>#N/A</v>
      </c>
    </row>
    <row r="636" spans="19:24" ht="15.75" customHeight="1" x14ac:dyDescent="0.25">
      <c r="S636" s="14" t="str">
        <f ca="1">IFERROR(__xludf.DUMMYFUNCTION("""COMPUTED_VALUE"""),"")</f>
        <v/>
      </c>
      <c r="T636" s="14" t="e">
        <f ca="1"/>
        <v>#N/A</v>
      </c>
      <c r="U636" s="14" t="e">
        <f ca="1"/>
        <v>#N/A</v>
      </c>
      <c r="V636" s="14" t="e">
        <f ca="1"/>
        <v>#N/A</v>
      </c>
      <c r="W636" s="8" t="e">
        <f ca="1"/>
        <v>#N/A</v>
      </c>
      <c r="X636" s="14" t="e">
        <f ca="1"/>
        <v>#N/A</v>
      </c>
    </row>
    <row r="637" spans="19:24" ht="15.75" customHeight="1" x14ac:dyDescent="0.25">
      <c r="S637" s="14" t="str">
        <f ca="1">IFERROR(__xludf.DUMMYFUNCTION("""COMPUTED_VALUE"""),"")</f>
        <v/>
      </c>
      <c r="T637" s="14" t="e">
        <f ca="1"/>
        <v>#N/A</v>
      </c>
      <c r="U637" s="14" t="e">
        <f ca="1"/>
        <v>#N/A</v>
      </c>
      <c r="V637" s="14" t="e">
        <f ca="1"/>
        <v>#N/A</v>
      </c>
      <c r="W637" s="8" t="e">
        <f ca="1"/>
        <v>#N/A</v>
      </c>
      <c r="X637" s="14" t="e">
        <f ca="1"/>
        <v>#N/A</v>
      </c>
    </row>
    <row r="638" spans="19:24" ht="15.75" customHeight="1" x14ac:dyDescent="0.25">
      <c r="S638" s="14" t="str">
        <f ca="1">IFERROR(__xludf.DUMMYFUNCTION("""COMPUTED_VALUE"""),"")</f>
        <v/>
      </c>
      <c r="T638" s="14" t="e">
        <f ca="1"/>
        <v>#N/A</v>
      </c>
      <c r="U638" s="14" t="e">
        <f ca="1"/>
        <v>#N/A</v>
      </c>
      <c r="V638" s="14" t="e">
        <f ca="1"/>
        <v>#N/A</v>
      </c>
      <c r="W638" s="8" t="e">
        <f ca="1"/>
        <v>#N/A</v>
      </c>
      <c r="X638" s="14" t="e">
        <f ca="1"/>
        <v>#N/A</v>
      </c>
    </row>
    <row r="639" spans="19:24" ht="15.75" customHeight="1" x14ac:dyDescent="0.25">
      <c r="S639" s="14" t="str">
        <f ca="1">IFERROR(__xludf.DUMMYFUNCTION("""COMPUTED_VALUE"""),"")</f>
        <v/>
      </c>
      <c r="T639" s="14" t="e">
        <f ca="1"/>
        <v>#N/A</v>
      </c>
      <c r="U639" s="14" t="e">
        <f ca="1"/>
        <v>#N/A</v>
      </c>
      <c r="V639" s="14" t="e">
        <f ca="1"/>
        <v>#N/A</v>
      </c>
      <c r="W639" s="8" t="e">
        <f ca="1"/>
        <v>#N/A</v>
      </c>
      <c r="X639" s="14" t="e">
        <f ca="1"/>
        <v>#N/A</v>
      </c>
    </row>
    <row r="640" spans="19:24" ht="15.75" customHeight="1" x14ac:dyDescent="0.25">
      <c r="S640" s="14" t="str">
        <f ca="1">IFERROR(__xludf.DUMMYFUNCTION("""COMPUTED_VALUE"""),"")</f>
        <v/>
      </c>
      <c r="T640" s="14" t="e">
        <f ca="1"/>
        <v>#N/A</v>
      </c>
      <c r="U640" s="14" t="e">
        <f ca="1"/>
        <v>#N/A</v>
      </c>
      <c r="V640" s="14" t="e">
        <f ca="1"/>
        <v>#N/A</v>
      </c>
      <c r="W640" s="8" t="e">
        <f ca="1"/>
        <v>#N/A</v>
      </c>
      <c r="X640" s="14" t="e">
        <f ca="1"/>
        <v>#N/A</v>
      </c>
    </row>
    <row r="641" spans="19:24" ht="15.75" customHeight="1" x14ac:dyDescent="0.25">
      <c r="S641" s="14" t="str">
        <f ca="1">IFERROR(__xludf.DUMMYFUNCTION("""COMPUTED_VALUE"""),"")</f>
        <v/>
      </c>
      <c r="T641" s="14" t="e">
        <f ca="1"/>
        <v>#N/A</v>
      </c>
      <c r="U641" s="14" t="e">
        <f ca="1"/>
        <v>#N/A</v>
      </c>
      <c r="V641" s="14" t="e">
        <f ca="1"/>
        <v>#N/A</v>
      </c>
      <c r="W641" s="8" t="e">
        <f ca="1"/>
        <v>#N/A</v>
      </c>
      <c r="X641" s="14" t="e">
        <f ca="1"/>
        <v>#N/A</v>
      </c>
    </row>
    <row r="642" spans="19:24" ht="15.75" customHeight="1" x14ac:dyDescent="0.25">
      <c r="S642" s="14" t="str">
        <f ca="1">IFERROR(__xludf.DUMMYFUNCTION("""COMPUTED_VALUE"""),"")</f>
        <v/>
      </c>
      <c r="T642" s="14" t="e">
        <f ca="1"/>
        <v>#N/A</v>
      </c>
      <c r="U642" s="14" t="e">
        <f ca="1"/>
        <v>#N/A</v>
      </c>
      <c r="V642" s="14" t="e">
        <f ca="1"/>
        <v>#N/A</v>
      </c>
      <c r="W642" s="8" t="e">
        <f ca="1"/>
        <v>#N/A</v>
      </c>
      <c r="X642" s="14" t="e">
        <f ca="1"/>
        <v>#N/A</v>
      </c>
    </row>
    <row r="643" spans="19:24" ht="15.75" customHeight="1" x14ac:dyDescent="0.25">
      <c r="S643" s="14" t="str">
        <f ca="1">IFERROR(__xludf.DUMMYFUNCTION("""COMPUTED_VALUE"""),"")</f>
        <v/>
      </c>
      <c r="T643" s="14" t="e">
        <f ca="1"/>
        <v>#N/A</v>
      </c>
      <c r="U643" s="14" t="e">
        <f ca="1"/>
        <v>#N/A</v>
      </c>
      <c r="V643" s="14" t="e">
        <f ca="1"/>
        <v>#N/A</v>
      </c>
      <c r="W643" s="8" t="e">
        <f ca="1"/>
        <v>#N/A</v>
      </c>
      <c r="X643" s="14" t="e">
        <f ca="1"/>
        <v>#N/A</v>
      </c>
    </row>
    <row r="644" spans="19:24" ht="15.75" customHeight="1" x14ac:dyDescent="0.25">
      <c r="S644" s="14" t="str">
        <f ca="1">IFERROR(__xludf.DUMMYFUNCTION("""COMPUTED_VALUE"""),"")</f>
        <v/>
      </c>
      <c r="T644" s="14" t="e">
        <f ca="1"/>
        <v>#N/A</v>
      </c>
      <c r="U644" s="14" t="e">
        <f ca="1"/>
        <v>#N/A</v>
      </c>
      <c r="V644" s="14" t="e">
        <f ca="1"/>
        <v>#N/A</v>
      </c>
      <c r="W644" s="8" t="e">
        <f ca="1"/>
        <v>#N/A</v>
      </c>
      <c r="X644" s="14" t="e">
        <f ca="1"/>
        <v>#N/A</v>
      </c>
    </row>
    <row r="645" spans="19:24" ht="15.75" customHeight="1" x14ac:dyDescent="0.25">
      <c r="S645" s="14" t="str">
        <f ca="1">IFERROR(__xludf.DUMMYFUNCTION("""COMPUTED_VALUE"""),"")</f>
        <v/>
      </c>
      <c r="T645" s="14" t="e">
        <f ca="1"/>
        <v>#N/A</v>
      </c>
      <c r="U645" s="14" t="e">
        <f ca="1"/>
        <v>#N/A</v>
      </c>
      <c r="V645" s="14" t="e">
        <f ca="1"/>
        <v>#N/A</v>
      </c>
      <c r="W645" s="8" t="e">
        <f ca="1"/>
        <v>#N/A</v>
      </c>
      <c r="X645" s="14" t="e">
        <f ca="1"/>
        <v>#N/A</v>
      </c>
    </row>
    <row r="646" spans="19:24" ht="15.75" customHeight="1" x14ac:dyDescent="0.25">
      <c r="S646" s="14" t="str">
        <f ca="1">IFERROR(__xludf.DUMMYFUNCTION("""COMPUTED_VALUE"""),"")</f>
        <v/>
      </c>
      <c r="T646" s="14" t="e">
        <f ca="1"/>
        <v>#N/A</v>
      </c>
      <c r="U646" s="14" t="e">
        <f ca="1"/>
        <v>#N/A</v>
      </c>
      <c r="V646" s="14" t="e">
        <f ca="1"/>
        <v>#N/A</v>
      </c>
      <c r="W646" s="8" t="e">
        <f ca="1"/>
        <v>#N/A</v>
      </c>
      <c r="X646" s="14" t="e">
        <f ca="1"/>
        <v>#N/A</v>
      </c>
    </row>
    <row r="647" spans="19:24" ht="15.75" customHeight="1" x14ac:dyDescent="0.25">
      <c r="S647" s="14" t="str">
        <f ca="1">IFERROR(__xludf.DUMMYFUNCTION("""COMPUTED_VALUE"""),"")</f>
        <v/>
      </c>
      <c r="T647" s="14" t="e">
        <f ca="1"/>
        <v>#N/A</v>
      </c>
      <c r="U647" s="14" t="e">
        <f ca="1"/>
        <v>#N/A</v>
      </c>
      <c r="V647" s="14" t="e">
        <f ca="1"/>
        <v>#N/A</v>
      </c>
      <c r="W647" s="8" t="e">
        <f ca="1"/>
        <v>#N/A</v>
      </c>
      <c r="X647" s="14" t="e">
        <f ca="1"/>
        <v>#N/A</v>
      </c>
    </row>
    <row r="648" spans="19:24" ht="15.75" customHeight="1" x14ac:dyDescent="0.25">
      <c r="S648" s="14" t="str">
        <f ca="1">IFERROR(__xludf.DUMMYFUNCTION("""COMPUTED_VALUE"""),"")</f>
        <v/>
      </c>
      <c r="T648" s="14" t="e">
        <f ca="1"/>
        <v>#N/A</v>
      </c>
      <c r="U648" s="14" t="e">
        <f ca="1"/>
        <v>#N/A</v>
      </c>
      <c r="V648" s="14" t="e">
        <f ca="1"/>
        <v>#N/A</v>
      </c>
      <c r="W648" s="8" t="e">
        <f ca="1"/>
        <v>#N/A</v>
      </c>
      <c r="X648" s="14" t="e">
        <f ca="1"/>
        <v>#N/A</v>
      </c>
    </row>
    <row r="649" spans="19:24" ht="15.75" customHeight="1" x14ac:dyDescent="0.25">
      <c r="S649" s="14" t="str">
        <f ca="1">IFERROR(__xludf.DUMMYFUNCTION("""COMPUTED_VALUE"""),"")</f>
        <v/>
      </c>
      <c r="T649" s="14" t="e">
        <f ca="1"/>
        <v>#N/A</v>
      </c>
      <c r="U649" s="14" t="e">
        <f ca="1"/>
        <v>#N/A</v>
      </c>
      <c r="V649" s="14" t="e">
        <f ca="1"/>
        <v>#N/A</v>
      </c>
      <c r="W649" s="8" t="e">
        <f ca="1"/>
        <v>#N/A</v>
      </c>
      <c r="X649" s="14" t="e">
        <f ca="1"/>
        <v>#N/A</v>
      </c>
    </row>
    <row r="650" spans="19:24" ht="15.75" customHeight="1" x14ac:dyDescent="0.25">
      <c r="S650" s="14" t="str">
        <f ca="1">IFERROR(__xludf.DUMMYFUNCTION("""COMPUTED_VALUE"""),"")</f>
        <v/>
      </c>
      <c r="T650" s="14" t="e">
        <f ca="1"/>
        <v>#N/A</v>
      </c>
      <c r="U650" s="14" t="e">
        <f ca="1"/>
        <v>#N/A</v>
      </c>
      <c r="V650" s="14" t="e">
        <f ca="1"/>
        <v>#N/A</v>
      </c>
      <c r="W650" s="8" t="e">
        <f ca="1"/>
        <v>#N/A</v>
      </c>
      <c r="X650" s="14" t="e">
        <f ca="1"/>
        <v>#N/A</v>
      </c>
    </row>
    <row r="651" spans="19:24" ht="15.75" customHeight="1" x14ac:dyDescent="0.25">
      <c r="S651" s="14" t="str">
        <f ca="1">IFERROR(__xludf.DUMMYFUNCTION("""COMPUTED_VALUE"""),"")</f>
        <v/>
      </c>
      <c r="T651" s="14" t="e">
        <f ca="1"/>
        <v>#N/A</v>
      </c>
      <c r="U651" s="14" t="e">
        <f ca="1"/>
        <v>#N/A</v>
      </c>
      <c r="V651" s="14" t="e">
        <f ca="1"/>
        <v>#N/A</v>
      </c>
      <c r="W651" s="8" t="e">
        <f ca="1"/>
        <v>#N/A</v>
      </c>
      <c r="X651" s="14" t="e">
        <f ca="1"/>
        <v>#N/A</v>
      </c>
    </row>
    <row r="652" spans="19:24" ht="15.75" customHeight="1" x14ac:dyDescent="0.25">
      <c r="S652" s="14" t="str">
        <f ca="1">IFERROR(__xludf.DUMMYFUNCTION("""COMPUTED_VALUE"""),"")</f>
        <v/>
      </c>
      <c r="T652" s="14" t="e">
        <f ca="1"/>
        <v>#N/A</v>
      </c>
      <c r="U652" s="14" t="e">
        <f ca="1"/>
        <v>#N/A</v>
      </c>
      <c r="V652" s="14" t="e">
        <f ca="1"/>
        <v>#N/A</v>
      </c>
      <c r="W652" s="8" t="e">
        <f ca="1"/>
        <v>#N/A</v>
      </c>
      <c r="X652" s="14" t="e">
        <f ca="1"/>
        <v>#N/A</v>
      </c>
    </row>
    <row r="653" spans="19:24" ht="15.75" customHeight="1" x14ac:dyDescent="0.25">
      <c r="S653" s="14" t="str">
        <f ca="1">IFERROR(__xludf.DUMMYFUNCTION("""COMPUTED_VALUE"""),"")</f>
        <v/>
      </c>
      <c r="T653" s="14" t="e">
        <f ca="1"/>
        <v>#N/A</v>
      </c>
      <c r="U653" s="14" t="e">
        <f ca="1"/>
        <v>#N/A</v>
      </c>
      <c r="V653" s="14" t="e">
        <f ca="1"/>
        <v>#N/A</v>
      </c>
      <c r="W653" s="8" t="e">
        <f ca="1"/>
        <v>#N/A</v>
      </c>
      <c r="X653" s="14" t="e">
        <f ca="1"/>
        <v>#N/A</v>
      </c>
    </row>
    <row r="654" spans="19:24" ht="15.75" customHeight="1" x14ac:dyDescent="0.25">
      <c r="S654" s="14" t="str">
        <f ca="1">IFERROR(__xludf.DUMMYFUNCTION("""COMPUTED_VALUE"""),"")</f>
        <v/>
      </c>
      <c r="T654" s="14" t="e">
        <f ca="1"/>
        <v>#N/A</v>
      </c>
      <c r="U654" s="14" t="e">
        <f ca="1"/>
        <v>#N/A</v>
      </c>
      <c r="V654" s="14" t="e">
        <f ca="1"/>
        <v>#N/A</v>
      </c>
      <c r="W654" s="8" t="e">
        <f ca="1"/>
        <v>#N/A</v>
      </c>
      <c r="X654" s="14" t="e">
        <f ca="1"/>
        <v>#N/A</v>
      </c>
    </row>
    <row r="655" spans="19:24" ht="15.75" customHeight="1" x14ac:dyDescent="0.25">
      <c r="S655" s="14" t="str">
        <f ca="1">IFERROR(__xludf.DUMMYFUNCTION("""COMPUTED_VALUE"""),"")</f>
        <v/>
      </c>
      <c r="T655" s="14" t="e">
        <f ca="1"/>
        <v>#N/A</v>
      </c>
      <c r="U655" s="14" t="e">
        <f ca="1"/>
        <v>#N/A</v>
      </c>
      <c r="V655" s="14" t="e">
        <f ca="1"/>
        <v>#N/A</v>
      </c>
      <c r="W655" s="8" t="e">
        <f ca="1"/>
        <v>#N/A</v>
      </c>
      <c r="X655" s="14" t="e">
        <f ca="1"/>
        <v>#N/A</v>
      </c>
    </row>
    <row r="656" spans="19:24" ht="15.75" customHeight="1" x14ac:dyDescent="0.25">
      <c r="S656" s="14" t="str">
        <f ca="1">IFERROR(__xludf.DUMMYFUNCTION("""COMPUTED_VALUE"""),"")</f>
        <v/>
      </c>
      <c r="T656" s="14" t="e">
        <f ca="1"/>
        <v>#N/A</v>
      </c>
      <c r="U656" s="14" t="e">
        <f ca="1"/>
        <v>#N/A</v>
      </c>
      <c r="V656" s="14" t="e">
        <f ca="1"/>
        <v>#N/A</v>
      </c>
      <c r="W656" s="8" t="e">
        <f ca="1"/>
        <v>#N/A</v>
      </c>
      <c r="X656" s="14" t="e">
        <f ca="1"/>
        <v>#N/A</v>
      </c>
    </row>
    <row r="657" spans="19:24" ht="15.75" customHeight="1" x14ac:dyDescent="0.25">
      <c r="S657" s="14" t="str">
        <f ca="1">IFERROR(__xludf.DUMMYFUNCTION("""COMPUTED_VALUE"""),"")</f>
        <v/>
      </c>
      <c r="T657" s="14" t="e">
        <f ca="1"/>
        <v>#N/A</v>
      </c>
      <c r="U657" s="14" t="e">
        <f ca="1"/>
        <v>#N/A</v>
      </c>
      <c r="V657" s="14" t="e">
        <f ca="1"/>
        <v>#N/A</v>
      </c>
      <c r="W657" s="8" t="e">
        <f ca="1"/>
        <v>#N/A</v>
      </c>
      <c r="X657" s="14" t="e">
        <f ca="1"/>
        <v>#N/A</v>
      </c>
    </row>
    <row r="658" spans="19:24" ht="15.75" customHeight="1" x14ac:dyDescent="0.25">
      <c r="S658" s="14" t="str">
        <f ca="1">IFERROR(__xludf.DUMMYFUNCTION("""COMPUTED_VALUE"""),"")</f>
        <v/>
      </c>
      <c r="T658" s="14" t="e">
        <f ca="1"/>
        <v>#N/A</v>
      </c>
      <c r="U658" s="14" t="e">
        <f ca="1"/>
        <v>#N/A</v>
      </c>
      <c r="V658" s="14" t="e">
        <f ca="1"/>
        <v>#N/A</v>
      </c>
      <c r="W658" s="8" t="e">
        <f ca="1"/>
        <v>#N/A</v>
      </c>
      <c r="X658" s="14" t="e">
        <f ca="1"/>
        <v>#N/A</v>
      </c>
    </row>
    <row r="659" spans="19:24" ht="15.75" customHeight="1" x14ac:dyDescent="0.25">
      <c r="S659" s="14" t="str">
        <f ca="1">IFERROR(__xludf.DUMMYFUNCTION("""COMPUTED_VALUE"""),"")</f>
        <v/>
      </c>
      <c r="T659" s="14" t="e">
        <f ca="1"/>
        <v>#N/A</v>
      </c>
      <c r="U659" s="14" t="e">
        <f ca="1"/>
        <v>#N/A</v>
      </c>
      <c r="V659" s="14" t="e">
        <f ca="1"/>
        <v>#N/A</v>
      </c>
      <c r="W659" s="8" t="e">
        <f ca="1"/>
        <v>#N/A</v>
      </c>
      <c r="X659" s="14" t="e">
        <f ca="1"/>
        <v>#N/A</v>
      </c>
    </row>
    <row r="660" spans="19:24" ht="15.75" customHeight="1" x14ac:dyDescent="0.25">
      <c r="S660" s="14" t="str">
        <f ca="1">IFERROR(__xludf.DUMMYFUNCTION("""COMPUTED_VALUE"""),"")</f>
        <v/>
      </c>
      <c r="T660" s="14" t="e">
        <f ca="1"/>
        <v>#N/A</v>
      </c>
      <c r="U660" s="14" t="e">
        <f ca="1"/>
        <v>#N/A</v>
      </c>
      <c r="V660" s="14" t="e">
        <f ca="1"/>
        <v>#N/A</v>
      </c>
      <c r="W660" s="8" t="e">
        <f ca="1"/>
        <v>#N/A</v>
      </c>
      <c r="X660" s="14" t="e">
        <f ca="1"/>
        <v>#N/A</v>
      </c>
    </row>
    <row r="661" spans="19:24" ht="15.75" customHeight="1" x14ac:dyDescent="0.25">
      <c r="S661" s="14" t="str">
        <f ca="1">IFERROR(__xludf.DUMMYFUNCTION("""COMPUTED_VALUE"""),"")</f>
        <v/>
      </c>
      <c r="T661" s="14" t="e">
        <f ca="1"/>
        <v>#N/A</v>
      </c>
      <c r="U661" s="14" t="e">
        <f ca="1"/>
        <v>#N/A</v>
      </c>
      <c r="V661" s="14" t="e">
        <f ca="1"/>
        <v>#N/A</v>
      </c>
      <c r="W661" s="8" t="e">
        <f ca="1"/>
        <v>#N/A</v>
      </c>
      <c r="X661" s="14" t="e">
        <f ca="1"/>
        <v>#N/A</v>
      </c>
    </row>
    <row r="662" spans="19:24" ht="15.75" customHeight="1" x14ac:dyDescent="0.25">
      <c r="S662" s="14" t="str">
        <f ca="1">IFERROR(__xludf.DUMMYFUNCTION("""COMPUTED_VALUE"""),"")</f>
        <v/>
      </c>
      <c r="T662" s="14" t="e">
        <f ca="1"/>
        <v>#N/A</v>
      </c>
      <c r="U662" s="14" t="e">
        <f ca="1"/>
        <v>#N/A</v>
      </c>
      <c r="V662" s="14" t="e">
        <f ca="1"/>
        <v>#N/A</v>
      </c>
      <c r="W662" s="8" t="e">
        <f ca="1"/>
        <v>#N/A</v>
      </c>
      <c r="X662" s="14" t="e">
        <f ca="1"/>
        <v>#N/A</v>
      </c>
    </row>
    <row r="663" spans="19:24" ht="15.75" customHeight="1" x14ac:dyDescent="0.25">
      <c r="S663" s="14" t="str">
        <f ca="1">IFERROR(__xludf.DUMMYFUNCTION("""COMPUTED_VALUE"""),"")</f>
        <v/>
      </c>
      <c r="T663" s="14" t="e">
        <f ca="1"/>
        <v>#N/A</v>
      </c>
      <c r="U663" s="14" t="e">
        <f ca="1"/>
        <v>#N/A</v>
      </c>
      <c r="V663" s="14" t="e">
        <f ca="1"/>
        <v>#N/A</v>
      </c>
      <c r="W663" s="8" t="e">
        <f ca="1"/>
        <v>#N/A</v>
      </c>
      <c r="X663" s="14" t="e">
        <f ca="1"/>
        <v>#N/A</v>
      </c>
    </row>
    <row r="664" spans="19:24" ht="15.75" customHeight="1" x14ac:dyDescent="0.25">
      <c r="S664" s="14" t="str">
        <f ca="1">IFERROR(__xludf.DUMMYFUNCTION("""COMPUTED_VALUE"""),"")</f>
        <v/>
      </c>
      <c r="T664" s="14" t="e">
        <f ca="1"/>
        <v>#N/A</v>
      </c>
      <c r="U664" s="14" t="e">
        <f ca="1"/>
        <v>#N/A</v>
      </c>
      <c r="V664" s="14" t="e">
        <f ca="1"/>
        <v>#N/A</v>
      </c>
      <c r="W664" s="8" t="e">
        <f ca="1"/>
        <v>#N/A</v>
      </c>
      <c r="X664" s="14" t="e">
        <f ca="1"/>
        <v>#N/A</v>
      </c>
    </row>
    <row r="665" spans="19:24" ht="15.75" customHeight="1" x14ac:dyDescent="0.25">
      <c r="S665" s="14" t="str">
        <f ca="1">IFERROR(__xludf.DUMMYFUNCTION("""COMPUTED_VALUE"""),"")</f>
        <v/>
      </c>
      <c r="T665" s="14" t="e">
        <f ca="1"/>
        <v>#N/A</v>
      </c>
      <c r="U665" s="14" t="e">
        <f ca="1"/>
        <v>#N/A</v>
      </c>
      <c r="V665" s="14" t="e">
        <f ca="1"/>
        <v>#N/A</v>
      </c>
      <c r="W665" s="8" t="e">
        <f ca="1"/>
        <v>#N/A</v>
      </c>
      <c r="X665" s="14" t="e">
        <f ca="1"/>
        <v>#N/A</v>
      </c>
    </row>
    <row r="666" spans="19:24" ht="15.75" customHeight="1" x14ac:dyDescent="0.25">
      <c r="S666" s="14" t="str">
        <f ca="1">IFERROR(__xludf.DUMMYFUNCTION("""COMPUTED_VALUE"""),"")</f>
        <v/>
      </c>
      <c r="T666" s="14" t="e">
        <f ca="1"/>
        <v>#N/A</v>
      </c>
      <c r="U666" s="14" t="e">
        <f ca="1"/>
        <v>#N/A</v>
      </c>
      <c r="V666" s="14" t="e">
        <f ca="1"/>
        <v>#N/A</v>
      </c>
      <c r="W666" s="8" t="e">
        <f ca="1"/>
        <v>#N/A</v>
      </c>
      <c r="X666" s="14" t="e">
        <f ca="1"/>
        <v>#N/A</v>
      </c>
    </row>
    <row r="667" spans="19:24" ht="15.75" customHeight="1" x14ac:dyDescent="0.25">
      <c r="S667" s="14" t="str">
        <f ca="1">IFERROR(__xludf.DUMMYFUNCTION("""COMPUTED_VALUE"""),"")</f>
        <v/>
      </c>
      <c r="T667" s="14" t="e">
        <f ca="1"/>
        <v>#N/A</v>
      </c>
      <c r="U667" s="14" t="e">
        <f ca="1"/>
        <v>#N/A</v>
      </c>
      <c r="V667" s="14" t="e">
        <f ca="1"/>
        <v>#N/A</v>
      </c>
      <c r="W667" s="8" t="e">
        <f ca="1"/>
        <v>#N/A</v>
      </c>
      <c r="X667" s="14" t="e">
        <f ca="1"/>
        <v>#N/A</v>
      </c>
    </row>
    <row r="668" spans="19:24" ht="15.75" customHeight="1" x14ac:dyDescent="0.25">
      <c r="S668" s="14" t="str">
        <f ca="1">IFERROR(__xludf.DUMMYFUNCTION("""COMPUTED_VALUE"""),"")</f>
        <v/>
      </c>
      <c r="T668" s="14" t="e">
        <f ca="1"/>
        <v>#N/A</v>
      </c>
      <c r="U668" s="14" t="e">
        <f ca="1"/>
        <v>#N/A</v>
      </c>
      <c r="V668" s="14" t="e">
        <f ca="1"/>
        <v>#N/A</v>
      </c>
      <c r="W668" s="8" t="e">
        <f ca="1"/>
        <v>#N/A</v>
      </c>
      <c r="X668" s="14" t="e">
        <f ca="1"/>
        <v>#N/A</v>
      </c>
    </row>
    <row r="669" spans="19:24" ht="15.75" customHeight="1" x14ac:dyDescent="0.25">
      <c r="S669" s="14" t="str">
        <f ca="1">IFERROR(__xludf.DUMMYFUNCTION("""COMPUTED_VALUE"""),"")</f>
        <v/>
      </c>
      <c r="T669" s="14" t="e">
        <f ca="1"/>
        <v>#N/A</v>
      </c>
      <c r="U669" s="14" t="e">
        <f ca="1"/>
        <v>#N/A</v>
      </c>
      <c r="V669" s="14" t="e">
        <f ca="1"/>
        <v>#N/A</v>
      </c>
      <c r="W669" s="8" t="e">
        <f ca="1"/>
        <v>#N/A</v>
      </c>
      <c r="X669" s="14" t="e">
        <f ca="1"/>
        <v>#N/A</v>
      </c>
    </row>
    <row r="670" spans="19:24" ht="15.75" customHeight="1" x14ac:dyDescent="0.25">
      <c r="S670" s="14" t="str">
        <f ca="1">IFERROR(__xludf.DUMMYFUNCTION("""COMPUTED_VALUE"""),"")</f>
        <v/>
      </c>
      <c r="T670" s="14" t="e">
        <f ca="1"/>
        <v>#N/A</v>
      </c>
      <c r="U670" s="14" t="e">
        <f ca="1"/>
        <v>#N/A</v>
      </c>
      <c r="V670" s="14" t="e">
        <f ca="1"/>
        <v>#N/A</v>
      </c>
      <c r="W670" s="8" t="e">
        <f ca="1"/>
        <v>#N/A</v>
      </c>
      <c r="X670" s="14" t="e">
        <f ca="1"/>
        <v>#N/A</v>
      </c>
    </row>
    <row r="671" spans="19:24" ht="15.75" customHeight="1" x14ac:dyDescent="0.25">
      <c r="S671" s="14" t="str">
        <f ca="1">IFERROR(__xludf.DUMMYFUNCTION("""COMPUTED_VALUE"""),"")</f>
        <v/>
      </c>
      <c r="T671" s="14" t="e">
        <f ca="1"/>
        <v>#N/A</v>
      </c>
      <c r="U671" s="14" t="e">
        <f ca="1"/>
        <v>#N/A</v>
      </c>
      <c r="V671" s="14" t="e">
        <f ca="1"/>
        <v>#N/A</v>
      </c>
      <c r="W671" s="8" t="e">
        <f ca="1"/>
        <v>#N/A</v>
      </c>
      <c r="X671" s="14" t="e">
        <f ca="1"/>
        <v>#N/A</v>
      </c>
    </row>
    <row r="672" spans="19:24" ht="15.75" customHeight="1" x14ac:dyDescent="0.25">
      <c r="S672" s="14" t="str">
        <f ca="1">IFERROR(__xludf.DUMMYFUNCTION("""COMPUTED_VALUE"""),"")</f>
        <v/>
      </c>
      <c r="T672" s="14" t="e">
        <f ca="1"/>
        <v>#N/A</v>
      </c>
      <c r="U672" s="14" t="e">
        <f ca="1"/>
        <v>#N/A</v>
      </c>
      <c r="V672" s="14" t="e">
        <f ca="1"/>
        <v>#N/A</v>
      </c>
      <c r="W672" s="8" t="e">
        <f ca="1"/>
        <v>#N/A</v>
      </c>
      <c r="X672" s="14" t="e">
        <f ca="1"/>
        <v>#N/A</v>
      </c>
    </row>
    <row r="673" spans="19:24" ht="15.75" customHeight="1" x14ac:dyDescent="0.25">
      <c r="S673" s="14" t="str">
        <f ca="1">IFERROR(__xludf.DUMMYFUNCTION("""COMPUTED_VALUE"""),"")</f>
        <v/>
      </c>
      <c r="T673" s="14" t="e">
        <f ca="1"/>
        <v>#N/A</v>
      </c>
      <c r="U673" s="14" t="e">
        <f ca="1"/>
        <v>#N/A</v>
      </c>
      <c r="V673" s="14" t="e">
        <f ca="1"/>
        <v>#N/A</v>
      </c>
      <c r="W673" s="8" t="e">
        <f ca="1"/>
        <v>#N/A</v>
      </c>
      <c r="X673" s="14" t="e">
        <f ca="1"/>
        <v>#N/A</v>
      </c>
    </row>
    <row r="674" spans="19:24" ht="15.75" customHeight="1" x14ac:dyDescent="0.25">
      <c r="S674" s="14" t="str">
        <f ca="1">IFERROR(__xludf.DUMMYFUNCTION("""COMPUTED_VALUE"""),"")</f>
        <v/>
      </c>
      <c r="T674" s="14" t="e">
        <f ca="1"/>
        <v>#N/A</v>
      </c>
      <c r="U674" s="14" t="e">
        <f ca="1"/>
        <v>#N/A</v>
      </c>
      <c r="V674" s="14" t="e">
        <f ca="1"/>
        <v>#N/A</v>
      </c>
      <c r="W674" s="8" t="e">
        <f ca="1"/>
        <v>#N/A</v>
      </c>
      <c r="X674" s="14" t="e">
        <f ca="1"/>
        <v>#N/A</v>
      </c>
    </row>
    <row r="675" spans="19:24" ht="15.75" customHeight="1" x14ac:dyDescent="0.25">
      <c r="S675" s="14" t="str">
        <f ca="1">IFERROR(__xludf.DUMMYFUNCTION("""COMPUTED_VALUE"""),"")</f>
        <v/>
      </c>
      <c r="T675" s="14" t="e">
        <f ca="1"/>
        <v>#N/A</v>
      </c>
      <c r="U675" s="14" t="e">
        <f ca="1"/>
        <v>#N/A</v>
      </c>
      <c r="V675" s="14" t="e">
        <f ca="1"/>
        <v>#N/A</v>
      </c>
      <c r="W675" s="8" t="e">
        <f ca="1"/>
        <v>#N/A</v>
      </c>
      <c r="X675" s="14" t="e">
        <f ca="1"/>
        <v>#N/A</v>
      </c>
    </row>
    <row r="676" spans="19:24" ht="15.75" customHeight="1" x14ac:dyDescent="0.25">
      <c r="S676" s="14" t="str">
        <f ca="1">IFERROR(__xludf.DUMMYFUNCTION("""COMPUTED_VALUE"""),"")</f>
        <v/>
      </c>
      <c r="T676" s="14" t="e">
        <f ca="1"/>
        <v>#N/A</v>
      </c>
      <c r="U676" s="14" t="e">
        <f ca="1"/>
        <v>#N/A</v>
      </c>
      <c r="V676" s="14" t="e">
        <f ca="1"/>
        <v>#N/A</v>
      </c>
      <c r="W676" s="8" t="e">
        <f ca="1"/>
        <v>#N/A</v>
      </c>
      <c r="X676" s="14" t="e">
        <f ca="1"/>
        <v>#N/A</v>
      </c>
    </row>
    <row r="677" spans="19:24" ht="15.75" customHeight="1" x14ac:dyDescent="0.25">
      <c r="S677" s="14" t="str">
        <f ca="1">IFERROR(__xludf.DUMMYFUNCTION("""COMPUTED_VALUE"""),"")</f>
        <v/>
      </c>
      <c r="T677" s="14" t="e">
        <f ca="1"/>
        <v>#N/A</v>
      </c>
      <c r="U677" s="14" t="e">
        <f ca="1"/>
        <v>#N/A</v>
      </c>
      <c r="V677" s="14" t="e">
        <f ca="1"/>
        <v>#N/A</v>
      </c>
      <c r="W677" s="8" t="e">
        <f ca="1"/>
        <v>#N/A</v>
      </c>
      <c r="X677" s="14" t="e">
        <f ca="1"/>
        <v>#N/A</v>
      </c>
    </row>
    <row r="678" spans="19:24" ht="15.75" customHeight="1" x14ac:dyDescent="0.25">
      <c r="S678" s="14" t="str">
        <f ca="1">IFERROR(__xludf.DUMMYFUNCTION("""COMPUTED_VALUE"""),"")</f>
        <v/>
      </c>
      <c r="T678" s="14" t="e">
        <f ca="1"/>
        <v>#N/A</v>
      </c>
      <c r="U678" s="14" t="e">
        <f ca="1"/>
        <v>#N/A</v>
      </c>
      <c r="V678" s="14" t="e">
        <f ca="1"/>
        <v>#N/A</v>
      </c>
      <c r="W678" s="8" t="e">
        <f ca="1"/>
        <v>#N/A</v>
      </c>
      <c r="X678" s="14" t="e">
        <f ca="1"/>
        <v>#N/A</v>
      </c>
    </row>
    <row r="679" spans="19:24" ht="15.75" customHeight="1" x14ac:dyDescent="0.25">
      <c r="S679" s="14" t="str">
        <f ca="1">IFERROR(__xludf.DUMMYFUNCTION("""COMPUTED_VALUE"""),"")</f>
        <v/>
      </c>
      <c r="T679" s="14" t="e">
        <f ca="1"/>
        <v>#N/A</v>
      </c>
      <c r="U679" s="14" t="e">
        <f ca="1"/>
        <v>#N/A</v>
      </c>
      <c r="V679" s="14" t="e">
        <f ca="1"/>
        <v>#N/A</v>
      </c>
      <c r="W679" s="8" t="e">
        <f ca="1"/>
        <v>#N/A</v>
      </c>
      <c r="X679" s="14" t="e">
        <f ca="1"/>
        <v>#N/A</v>
      </c>
    </row>
    <row r="680" spans="19:24" ht="15.75" customHeight="1" x14ac:dyDescent="0.25">
      <c r="S680" s="14" t="str">
        <f ca="1">IFERROR(__xludf.DUMMYFUNCTION("""COMPUTED_VALUE"""),"")</f>
        <v/>
      </c>
      <c r="T680" s="14" t="e">
        <f ca="1"/>
        <v>#N/A</v>
      </c>
      <c r="U680" s="14" t="e">
        <f ca="1"/>
        <v>#N/A</v>
      </c>
      <c r="V680" s="14" t="e">
        <f ca="1"/>
        <v>#N/A</v>
      </c>
      <c r="W680" s="8" t="e">
        <f ca="1"/>
        <v>#N/A</v>
      </c>
      <c r="X680" s="14" t="e">
        <f ca="1"/>
        <v>#N/A</v>
      </c>
    </row>
    <row r="681" spans="19:24" ht="15.75" customHeight="1" x14ac:dyDescent="0.25">
      <c r="S681" s="14" t="str">
        <f ca="1">IFERROR(__xludf.DUMMYFUNCTION("""COMPUTED_VALUE"""),"")</f>
        <v/>
      </c>
      <c r="T681" s="14" t="e">
        <f ca="1"/>
        <v>#N/A</v>
      </c>
      <c r="U681" s="14" t="e">
        <f ca="1"/>
        <v>#N/A</v>
      </c>
      <c r="V681" s="14" t="e">
        <f ca="1"/>
        <v>#N/A</v>
      </c>
      <c r="W681" s="8" t="e">
        <f ca="1"/>
        <v>#N/A</v>
      </c>
      <c r="X681" s="14" t="e">
        <f ca="1"/>
        <v>#N/A</v>
      </c>
    </row>
    <row r="682" spans="19:24" ht="15.75" customHeight="1" x14ac:dyDescent="0.25">
      <c r="S682" s="14" t="str">
        <f ca="1">IFERROR(__xludf.DUMMYFUNCTION("""COMPUTED_VALUE"""),"")</f>
        <v/>
      </c>
      <c r="T682" s="14" t="e">
        <f ca="1"/>
        <v>#N/A</v>
      </c>
      <c r="U682" s="14" t="e">
        <f ca="1"/>
        <v>#N/A</v>
      </c>
      <c r="V682" s="14" t="e">
        <f ca="1"/>
        <v>#N/A</v>
      </c>
      <c r="W682" s="8" t="e">
        <f ca="1"/>
        <v>#N/A</v>
      </c>
      <c r="X682" s="14" t="e">
        <f ca="1"/>
        <v>#N/A</v>
      </c>
    </row>
    <row r="683" spans="19:24" ht="15.75" customHeight="1" x14ac:dyDescent="0.25">
      <c r="S683" s="14" t="str">
        <f ca="1">IFERROR(__xludf.DUMMYFUNCTION("""COMPUTED_VALUE"""),"")</f>
        <v/>
      </c>
      <c r="T683" s="14" t="e">
        <f ca="1"/>
        <v>#N/A</v>
      </c>
      <c r="U683" s="14" t="e">
        <f ca="1"/>
        <v>#N/A</v>
      </c>
      <c r="V683" s="14" t="e">
        <f ca="1"/>
        <v>#N/A</v>
      </c>
      <c r="W683" s="8" t="e">
        <f ca="1"/>
        <v>#N/A</v>
      </c>
      <c r="X683" s="14" t="e">
        <f ca="1"/>
        <v>#N/A</v>
      </c>
    </row>
    <row r="684" spans="19:24" ht="15.75" customHeight="1" x14ac:dyDescent="0.25">
      <c r="S684" s="14" t="str">
        <f ca="1">IFERROR(__xludf.DUMMYFUNCTION("""COMPUTED_VALUE"""),"")</f>
        <v/>
      </c>
      <c r="T684" s="14" t="e">
        <f ca="1"/>
        <v>#N/A</v>
      </c>
      <c r="U684" s="14" t="e">
        <f ca="1"/>
        <v>#N/A</v>
      </c>
      <c r="V684" s="14" t="e">
        <f ca="1"/>
        <v>#N/A</v>
      </c>
      <c r="W684" s="8" t="e">
        <f ca="1"/>
        <v>#N/A</v>
      </c>
      <c r="X684" s="14" t="e">
        <f ca="1"/>
        <v>#N/A</v>
      </c>
    </row>
    <row r="685" spans="19:24" ht="15.75" customHeight="1" x14ac:dyDescent="0.25">
      <c r="S685" s="14" t="str">
        <f ca="1">IFERROR(__xludf.DUMMYFUNCTION("""COMPUTED_VALUE"""),"")</f>
        <v/>
      </c>
      <c r="T685" s="14" t="e">
        <f ca="1"/>
        <v>#N/A</v>
      </c>
      <c r="U685" s="14" t="e">
        <f ca="1"/>
        <v>#N/A</v>
      </c>
      <c r="V685" s="14" t="e">
        <f ca="1"/>
        <v>#N/A</v>
      </c>
      <c r="W685" s="8" t="e">
        <f ca="1"/>
        <v>#N/A</v>
      </c>
      <c r="X685" s="14" t="e">
        <f ca="1"/>
        <v>#N/A</v>
      </c>
    </row>
    <row r="686" spans="19:24" ht="15.75" customHeight="1" x14ac:dyDescent="0.25">
      <c r="S686" s="14" t="str">
        <f ca="1">IFERROR(__xludf.DUMMYFUNCTION("""COMPUTED_VALUE"""),"")</f>
        <v/>
      </c>
      <c r="T686" s="14" t="e">
        <f ca="1"/>
        <v>#N/A</v>
      </c>
      <c r="U686" s="14" t="e">
        <f ca="1"/>
        <v>#N/A</v>
      </c>
      <c r="V686" s="14" t="e">
        <f ca="1"/>
        <v>#N/A</v>
      </c>
      <c r="W686" s="8" t="e">
        <f ca="1"/>
        <v>#N/A</v>
      </c>
      <c r="X686" s="14" t="e">
        <f ca="1"/>
        <v>#N/A</v>
      </c>
    </row>
    <row r="687" spans="19:24" ht="15.75" customHeight="1" x14ac:dyDescent="0.25">
      <c r="S687" s="14" t="str">
        <f ca="1">IFERROR(__xludf.DUMMYFUNCTION("""COMPUTED_VALUE"""),"")</f>
        <v/>
      </c>
      <c r="T687" s="14" t="e">
        <f ca="1"/>
        <v>#N/A</v>
      </c>
      <c r="U687" s="14" t="e">
        <f ca="1"/>
        <v>#N/A</v>
      </c>
      <c r="V687" s="14" t="e">
        <f ca="1"/>
        <v>#N/A</v>
      </c>
      <c r="W687" s="8" t="e">
        <f ca="1"/>
        <v>#N/A</v>
      </c>
      <c r="X687" s="14" t="e">
        <f ca="1"/>
        <v>#N/A</v>
      </c>
    </row>
    <row r="688" spans="19:24" ht="15.75" customHeight="1" x14ac:dyDescent="0.25">
      <c r="S688" s="14" t="str">
        <f ca="1">IFERROR(__xludf.DUMMYFUNCTION("""COMPUTED_VALUE"""),"")</f>
        <v/>
      </c>
      <c r="T688" s="14" t="e">
        <f ca="1"/>
        <v>#N/A</v>
      </c>
      <c r="U688" s="14" t="e">
        <f ca="1"/>
        <v>#N/A</v>
      </c>
      <c r="V688" s="14" t="e">
        <f ca="1"/>
        <v>#N/A</v>
      </c>
      <c r="W688" s="8" t="e">
        <f ca="1"/>
        <v>#N/A</v>
      </c>
      <c r="X688" s="14" t="e">
        <f ca="1"/>
        <v>#N/A</v>
      </c>
    </row>
    <row r="689" spans="19:24" ht="15.75" customHeight="1" x14ac:dyDescent="0.25">
      <c r="S689" s="14" t="str">
        <f ca="1">IFERROR(__xludf.DUMMYFUNCTION("""COMPUTED_VALUE"""),"")</f>
        <v/>
      </c>
      <c r="T689" s="14" t="e">
        <f ca="1"/>
        <v>#N/A</v>
      </c>
      <c r="U689" s="14" t="e">
        <f ca="1"/>
        <v>#N/A</v>
      </c>
      <c r="V689" s="14" t="e">
        <f ca="1"/>
        <v>#N/A</v>
      </c>
      <c r="W689" s="8" t="e">
        <f ca="1"/>
        <v>#N/A</v>
      </c>
      <c r="X689" s="14" t="e">
        <f ca="1"/>
        <v>#N/A</v>
      </c>
    </row>
    <row r="690" spans="19:24" ht="15.75" customHeight="1" x14ac:dyDescent="0.25">
      <c r="S690" s="14" t="str">
        <f ca="1">IFERROR(__xludf.DUMMYFUNCTION("""COMPUTED_VALUE"""),"")</f>
        <v/>
      </c>
      <c r="T690" s="14" t="e">
        <f ca="1"/>
        <v>#N/A</v>
      </c>
      <c r="U690" s="14" t="e">
        <f ca="1"/>
        <v>#N/A</v>
      </c>
      <c r="V690" s="14" t="e">
        <f ca="1"/>
        <v>#N/A</v>
      </c>
      <c r="W690" s="8" t="e">
        <f ca="1"/>
        <v>#N/A</v>
      </c>
      <c r="X690" s="14" t="e">
        <f ca="1"/>
        <v>#N/A</v>
      </c>
    </row>
    <row r="691" spans="19:24" ht="15.75" customHeight="1" x14ac:dyDescent="0.25">
      <c r="S691" s="14" t="str">
        <f ca="1">IFERROR(__xludf.DUMMYFUNCTION("""COMPUTED_VALUE"""),"")</f>
        <v/>
      </c>
      <c r="T691" s="14" t="e">
        <f ca="1"/>
        <v>#N/A</v>
      </c>
      <c r="U691" s="14" t="e">
        <f ca="1"/>
        <v>#N/A</v>
      </c>
      <c r="V691" s="14" t="e">
        <f ca="1"/>
        <v>#N/A</v>
      </c>
      <c r="W691" s="8" t="e">
        <f ca="1"/>
        <v>#N/A</v>
      </c>
      <c r="X691" s="14" t="e">
        <f ca="1"/>
        <v>#N/A</v>
      </c>
    </row>
    <row r="692" spans="19:24" ht="15.75" customHeight="1" x14ac:dyDescent="0.25">
      <c r="S692" s="14" t="str">
        <f ca="1">IFERROR(__xludf.DUMMYFUNCTION("""COMPUTED_VALUE"""),"")</f>
        <v/>
      </c>
      <c r="T692" s="14" t="e">
        <f ca="1"/>
        <v>#N/A</v>
      </c>
      <c r="U692" s="14" t="e">
        <f ca="1"/>
        <v>#N/A</v>
      </c>
      <c r="V692" s="14" t="e">
        <f ca="1"/>
        <v>#N/A</v>
      </c>
      <c r="W692" s="8" t="e">
        <f ca="1"/>
        <v>#N/A</v>
      </c>
      <c r="X692" s="14" t="e">
        <f ca="1"/>
        <v>#N/A</v>
      </c>
    </row>
    <row r="693" spans="19:24" ht="15.75" customHeight="1" x14ac:dyDescent="0.25">
      <c r="S693" s="14" t="str">
        <f ca="1">IFERROR(__xludf.DUMMYFUNCTION("""COMPUTED_VALUE"""),"")</f>
        <v/>
      </c>
      <c r="T693" s="14" t="e">
        <f ca="1"/>
        <v>#N/A</v>
      </c>
      <c r="U693" s="14" t="e">
        <f ca="1"/>
        <v>#N/A</v>
      </c>
      <c r="V693" s="14" t="e">
        <f ca="1"/>
        <v>#N/A</v>
      </c>
      <c r="W693" s="8" t="e">
        <f ca="1"/>
        <v>#N/A</v>
      </c>
      <c r="X693" s="14" t="e">
        <f ca="1"/>
        <v>#N/A</v>
      </c>
    </row>
    <row r="694" spans="19:24" ht="15.75" customHeight="1" x14ac:dyDescent="0.25">
      <c r="S694" s="14" t="str">
        <f ca="1">IFERROR(__xludf.DUMMYFUNCTION("""COMPUTED_VALUE"""),"")</f>
        <v/>
      </c>
      <c r="T694" s="14" t="e">
        <f ca="1"/>
        <v>#N/A</v>
      </c>
      <c r="U694" s="14" t="e">
        <f ca="1"/>
        <v>#N/A</v>
      </c>
      <c r="V694" s="14" t="e">
        <f ca="1"/>
        <v>#N/A</v>
      </c>
      <c r="W694" s="8" t="e">
        <f ca="1"/>
        <v>#N/A</v>
      </c>
      <c r="X694" s="14" t="e">
        <f ca="1"/>
        <v>#N/A</v>
      </c>
    </row>
    <row r="695" spans="19:24" ht="15.75" customHeight="1" x14ac:dyDescent="0.25">
      <c r="S695" s="14" t="str">
        <f ca="1">IFERROR(__xludf.DUMMYFUNCTION("""COMPUTED_VALUE"""),"")</f>
        <v/>
      </c>
      <c r="T695" s="14" t="e">
        <f ca="1"/>
        <v>#N/A</v>
      </c>
      <c r="U695" s="14" t="e">
        <f ca="1"/>
        <v>#N/A</v>
      </c>
      <c r="V695" s="14" t="e">
        <f ca="1"/>
        <v>#N/A</v>
      </c>
      <c r="W695" s="8" t="e">
        <f ca="1"/>
        <v>#N/A</v>
      </c>
      <c r="X695" s="14" t="e">
        <f ca="1"/>
        <v>#N/A</v>
      </c>
    </row>
    <row r="696" spans="19:24" ht="15.75" customHeight="1" x14ac:dyDescent="0.25">
      <c r="S696" s="14" t="str">
        <f ca="1">IFERROR(__xludf.DUMMYFUNCTION("""COMPUTED_VALUE"""),"")</f>
        <v/>
      </c>
      <c r="T696" s="14" t="e">
        <f ca="1"/>
        <v>#N/A</v>
      </c>
      <c r="U696" s="14" t="e">
        <f ca="1"/>
        <v>#N/A</v>
      </c>
      <c r="V696" s="14" t="e">
        <f ca="1"/>
        <v>#N/A</v>
      </c>
      <c r="W696" s="8" t="e">
        <f ca="1"/>
        <v>#N/A</v>
      </c>
      <c r="X696" s="14" t="e">
        <f ca="1"/>
        <v>#N/A</v>
      </c>
    </row>
    <row r="697" spans="19:24" ht="15.75" customHeight="1" x14ac:dyDescent="0.25">
      <c r="S697" s="14" t="str">
        <f ca="1">IFERROR(__xludf.DUMMYFUNCTION("""COMPUTED_VALUE"""),"")</f>
        <v/>
      </c>
      <c r="T697" s="14" t="e">
        <f ca="1"/>
        <v>#N/A</v>
      </c>
      <c r="U697" s="14" t="e">
        <f ca="1"/>
        <v>#N/A</v>
      </c>
      <c r="V697" s="14" t="e">
        <f ca="1"/>
        <v>#N/A</v>
      </c>
      <c r="W697" s="8" t="e">
        <f ca="1"/>
        <v>#N/A</v>
      </c>
      <c r="X697" s="14" t="e">
        <f ca="1"/>
        <v>#N/A</v>
      </c>
    </row>
    <row r="698" spans="19:24" ht="15.75" customHeight="1" x14ac:dyDescent="0.25">
      <c r="S698" s="14" t="str">
        <f ca="1">IFERROR(__xludf.DUMMYFUNCTION("""COMPUTED_VALUE"""),"")</f>
        <v/>
      </c>
      <c r="T698" s="14" t="e">
        <f ca="1"/>
        <v>#N/A</v>
      </c>
      <c r="U698" s="14" t="e">
        <f ca="1"/>
        <v>#N/A</v>
      </c>
      <c r="V698" s="14" t="e">
        <f ca="1"/>
        <v>#N/A</v>
      </c>
      <c r="W698" s="8" t="e">
        <f ca="1"/>
        <v>#N/A</v>
      </c>
      <c r="X698" s="14" t="e">
        <f ca="1"/>
        <v>#N/A</v>
      </c>
    </row>
    <row r="699" spans="19:24" ht="15.75" customHeight="1" x14ac:dyDescent="0.25">
      <c r="S699" s="14" t="str">
        <f ca="1">IFERROR(__xludf.DUMMYFUNCTION("""COMPUTED_VALUE"""),"")</f>
        <v/>
      </c>
      <c r="T699" s="14" t="e">
        <f ca="1"/>
        <v>#N/A</v>
      </c>
      <c r="U699" s="14" t="e">
        <f ca="1"/>
        <v>#N/A</v>
      </c>
      <c r="V699" s="14" t="e">
        <f ca="1"/>
        <v>#N/A</v>
      </c>
      <c r="W699" s="8" t="e">
        <f ca="1"/>
        <v>#N/A</v>
      </c>
      <c r="X699" s="14" t="e">
        <f ca="1"/>
        <v>#N/A</v>
      </c>
    </row>
    <row r="700" spans="19:24" ht="15.75" customHeight="1" x14ac:dyDescent="0.25">
      <c r="S700" s="14" t="str">
        <f ca="1">IFERROR(__xludf.DUMMYFUNCTION("""COMPUTED_VALUE"""),"")</f>
        <v/>
      </c>
      <c r="T700" s="14" t="e">
        <f ca="1"/>
        <v>#N/A</v>
      </c>
      <c r="U700" s="14" t="e">
        <f ca="1"/>
        <v>#N/A</v>
      </c>
      <c r="V700" s="14" t="e">
        <f ca="1"/>
        <v>#N/A</v>
      </c>
      <c r="W700" s="8" t="e">
        <f ca="1"/>
        <v>#N/A</v>
      </c>
      <c r="X700" s="14" t="e">
        <f ca="1"/>
        <v>#N/A</v>
      </c>
    </row>
    <row r="701" spans="19:24" ht="15.75" customHeight="1" x14ac:dyDescent="0.25">
      <c r="S701" s="14" t="str">
        <f ca="1">IFERROR(__xludf.DUMMYFUNCTION("""COMPUTED_VALUE"""),"")</f>
        <v/>
      </c>
      <c r="T701" s="14" t="e">
        <f ca="1"/>
        <v>#N/A</v>
      </c>
      <c r="U701" s="14" t="e">
        <f ca="1"/>
        <v>#N/A</v>
      </c>
      <c r="V701" s="14" t="e">
        <f ca="1"/>
        <v>#N/A</v>
      </c>
      <c r="W701" s="8" t="e">
        <f ca="1"/>
        <v>#N/A</v>
      </c>
      <c r="X701" s="14" t="e">
        <f ca="1"/>
        <v>#N/A</v>
      </c>
    </row>
    <row r="702" spans="19:24" ht="15.75" customHeight="1" x14ac:dyDescent="0.25">
      <c r="S702" s="14" t="str">
        <f ca="1">IFERROR(__xludf.DUMMYFUNCTION("""COMPUTED_VALUE"""),"")</f>
        <v/>
      </c>
      <c r="T702" s="14" t="e">
        <f ca="1"/>
        <v>#N/A</v>
      </c>
      <c r="U702" s="14" t="e">
        <f ca="1"/>
        <v>#N/A</v>
      </c>
      <c r="V702" s="14" t="e">
        <f ca="1"/>
        <v>#N/A</v>
      </c>
      <c r="W702" s="8" t="e">
        <f ca="1"/>
        <v>#N/A</v>
      </c>
      <c r="X702" s="14" t="e">
        <f ca="1"/>
        <v>#N/A</v>
      </c>
    </row>
    <row r="703" spans="19:24" ht="15.75" customHeight="1" x14ac:dyDescent="0.25">
      <c r="S703" s="14" t="str">
        <f ca="1">IFERROR(__xludf.DUMMYFUNCTION("""COMPUTED_VALUE"""),"")</f>
        <v/>
      </c>
      <c r="T703" s="14" t="e">
        <f ca="1"/>
        <v>#N/A</v>
      </c>
      <c r="U703" s="14" t="e">
        <f ca="1"/>
        <v>#N/A</v>
      </c>
      <c r="V703" s="14" t="e">
        <f ca="1"/>
        <v>#N/A</v>
      </c>
      <c r="W703" s="8" t="e">
        <f ca="1"/>
        <v>#N/A</v>
      </c>
      <c r="X703" s="14" t="e">
        <f ca="1"/>
        <v>#N/A</v>
      </c>
    </row>
    <row r="704" spans="19:24" ht="15.75" customHeight="1" x14ac:dyDescent="0.25">
      <c r="S704" s="14" t="str">
        <f ca="1">IFERROR(__xludf.DUMMYFUNCTION("""COMPUTED_VALUE"""),"")</f>
        <v/>
      </c>
      <c r="T704" s="14" t="e">
        <f ca="1"/>
        <v>#N/A</v>
      </c>
      <c r="U704" s="14" t="e">
        <f ca="1"/>
        <v>#N/A</v>
      </c>
      <c r="V704" s="14" t="e">
        <f ca="1"/>
        <v>#N/A</v>
      </c>
      <c r="W704" s="8" t="e">
        <f ca="1"/>
        <v>#N/A</v>
      </c>
      <c r="X704" s="14" t="e">
        <f ca="1"/>
        <v>#N/A</v>
      </c>
    </row>
    <row r="705" spans="19:24" ht="15.75" customHeight="1" x14ac:dyDescent="0.25">
      <c r="S705" s="14" t="str">
        <f ca="1">IFERROR(__xludf.DUMMYFUNCTION("""COMPUTED_VALUE"""),"")</f>
        <v/>
      </c>
      <c r="T705" s="14" t="e">
        <f ca="1"/>
        <v>#N/A</v>
      </c>
      <c r="U705" s="14" t="e">
        <f ca="1"/>
        <v>#N/A</v>
      </c>
      <c r="V705" s="14" t="e">
        <f ca="1"/>
        <v>#N/A</v>
      </c>
      <c r="W705" s="8" t="e">
        <f ca="1"/>
        <v>#N/A</v>
      </c>
      <c r="X705" s="14" t="e">
        <f ca="1"/>
        <v>#N/A</v>
      </c>
    </row>
    <row r="706" spans="19:24" ht="15.75" customHeight="1" x14ac:dyDescent="0.25">
      <c r="S706" s="14" t="str">
        <f ca="1">IFERROR(__xludf.DUMMYFUNCTION("""COMPUTED_VALUE"""),"")</f>
        <v/>
      </c>
      <c r="T706" s="14" t="e">
        <f ca="1"/>
        <v>#N/A</v>
      </c>
      <c r="U706" s="14" t="e">
        <f ca="1"/>
        <v>#N/A</v>
      </c>
      <c r="V706" s="14" t="e">
        <f ca="1"/>
        <v>#N/A</v>
      </c>
      <c r="W706" s="8" t="e">
        <f ca="1"/>
        <v>#N/A</v>
      </c>
      <c r="X706" s="14" t="e">
        <f ca="1"/>
        <v>#N/A</v>
      </c>
    </row>
    <row r="707" spans="19:24" ht="15.75" customHeight="1" x14ac:dyDescent="0.25">
      <c r="S707" s="14" t="str">
        <f ca="1">IFERROR(__xludf.DUMMYFUNCTION("""COMPUTED_VALUE"""),"")</f>
        <v/>
      </c>
      <c r="T707" s="14" t="e">
        <f ca="1"/>
        <v>#N/A</v>
      </c>
      <c r="U707" s="14" t="e">
        <f ca="1"/>
        <v>#N/A</v>
      </c>
      <c r="V707" s="14" t="e">
        <f ca="1"/>
        <v>#N/A</v>
      </c>
      <c r="W707" s="8" t="e">
        <f ca="1"/>
        <v>#N/A</v>
      </c>
      <c r="X707" s="14" t="e">
        <f ca="1"/>
        <v>#N/A</v>
      </c>
    </row>
    <row r="708" spans="19:24" ht="15.75" customHeight="1" x14ac:dyDescent="0.25">
      <c r="S708" s="14" t="str">
        <f ca="1">IFERROR(__xludf.DUMMYFUNCTION("""COMPUTED_VALUE"""),"")</f>
        <v/>
      </c>
      <c r="T708" s="14" t="e">
        <f ca="1"/>
        <v>#N/A</v>
      </c>
      <c r="U708" s="14" t="e">
        <f ca="1"/>
        <v>#N/A</v>
      </c>
      <c r="V708" s="14" t="e">
        <f ca="1"/>
        <v>#N/A</v>
      </c>
      <c r="W708" s="8" t="e">
        <f ca="1"/>
        <v>#N/A</v>
      </c>
      <c r="X708" s="14" t="e">
        <f ca="1"/>
        <v>#N/A</v>
      </c>
    </row>
    <row r="709" spans="19:24" ht="15.75" customHeight="1" x14ac:dyDescent="0.25">
      <c r="S709" s="14" t="str">
        <f ca="1">IFERROR(__xludf.DUMMYFUNCTION("""COMPUTED_VALUE"""),"")</f>
        <v/>
      </c>
      <c r="T709" s="14" t="e">
        <f ca="1"/>
        <v>#N/A</v>
      </c>
      <c r="U709" s="14" t="e">
        <f ca="1"/>
        <v>#N/A</v>
      </c>
      <c r="V709" s="14" t="e">
        <f ca="1"/>
        <v>#N/A</v>
      </c>
      <c r="W709" s="8" t="e">
        <f ca="1"/>
        <v>#N/A</v>
      </c>
      <c r="X709" s="14" t="e">
        <f ca="1"/>
        <v>#N/A</v>
      </c>
    </row>
    <row r="710" spans="19:24" ht="15.75" customHeight="1" x14ac:dyDescent="0.25">
      <c r="S710" s="14" t="str">
        <f ca="1">IFERROR(__xludf.DUMMYFUNCTION("""COMPUTED_VALUE"""),"")</f>
        <v/>
      </c>
      <c r="T710" s="14" t="e">
        <f ca="1"/>
        <v>#N/A</v>
      </c>
      <c r="U710" s="14" t="e">
        <f ca="1"/>
        <v>#N/A</v>
      </c>
      <c r="V710" s="14" t="e">
        <f ca="1"/>
        <v>#N/A</v>
      </c>
      <c r="W710" s="8" t="e">
        <f ca="1"/>
        <v>#N/A</v>
      </c>
      <c r="X710" s="14" t="e">
        <f ca="1"/>
        <v>#N/A</v>
      </c>
    </row>
    <row r="711" spans="19:24" ht="15.75" customHeight="1" x14ac:dyDescent="0.25">
      <c r="S711" s="14" t="str">
        <f ca="1">IFERROR(__xludf.DUMMYFUNCTION("""COMPUTED_VALUE"""),"")</f>
        <v/>
      </c>
      <c r="T711" s="14" t="e">
        <f ca="1"/>
        <v>#N/A</v>
      </c>
      <c r="U711" s="14" t="e">
        <f ca="1"/>
        <v>#N/A</v>
      </c>
      <c r="V711" s="14" t="e">
        <f ca="1"/>
        <v>#N/A</v>
      </c>
      <c r="W711" s="8" t="e">
        <f ca="1"/>
        <v>#N/A</v>
      </c>
      <c r="X711" s="14" t="e">
        <f ca="1"/>
        <v>#N/A</v>
      </c>
    </row>
    <row r="712" spans="19:24" ht="15.75" customHeight="1" x14ac:dyDescent="0.25">
      <c r="S712" s="14" t="str">
        <f ca="1">IFERROR(__xludf.DUMMYFUNCTION("""COMPUTED_VALUE"""),"")</f>
        <v/>
      </c>
      <c r="T712" s="14" t="e">
        <f ca="1"/>
        <v>#N/A</v>
      </c>
      <c r="U712" s="14" t="e">
        <f ca="1"/>
        <v>#N/A</v>
      </c>
      <c r="V712" s="14" t="e">
        <f ca="1"/>
        <v>#N/A</v>
      </c>
      <c r="W712" s="8" t="e">
        <f ca="1"/>
        <v>#N/A</v>
      </c>
      <c r="X712" s="14" t="e">
        <f ca="1"/>
        <v>#N/A</v>
      </c>
    </row>
    <row r="713" spans="19:24" ht="15.75" customHeight="1" x14ac:dyDescent="0.25">
      <c r="S713" s="14" t="str">
        <f ca="1">IFERROR(__xludf.DUMMYFUNCTION("""COMPUTED_VALUE"""),"")</f>
        <v/>
      </c>
      <c r="T713" s="14" t="e">
        <f ca="1"/>
        <v>#N/A</v>
      </c>
      <c r="U713" s="14" t="e">
        <f ca="1"/>
        <v>#N/A</v>
      </c>
      <c r="V713" s="14" t="e">
        <f ca="1"/>
        <v>#N/A</v>
      </c>
      <c r="W713" s="8" t="e">
        <f ca="1"/>
        <v>#N/A</v>
      </c>
      <c r="X713" s="14" t="e">
        <f ca="1"/>
        <v>#N/A</v>
      </c>
    </row>
    <row r="714" spans="19:24" ht="15.75" customHeight="1" x14ac:dyDescent="0.25">
      <c r="S714" s="14" t="str">
        <f ca="1">IFERROR(__xludf.DUMMYFUNCTION("""COMPUTED_VALUE"""),"")</f>
        <v/>
      </c>
      <c r="T714" s="14" t="e">
        <f ca="1"/>
        <v>#N/A</v>
      </c>
      <c r="U714" s="14" t="e">
        <f ca="1"/>
        <v>#N/A</v>
      </c>
      <c r="V714" s="14" t="e">
        <f ca="1"/>
        <v>#N/A</v>
      </c>
      <c r="W714" s="8" t="e">
        <f ca="1"/>
        <v>#N/A</v>
      </c>
      <c r="X714" s="14" t="e">
        <f ca="1"/>
        <v>#N/A</v>
      </c>
    </row>
    <row r="715" spans="19:24" ht="15.75" customHeight="1" x14ac:dyDescent="0.25">
      <c r="S715" s="14" t="str">
        <f ca="1">IFERROR(__xludf.DUMMYFUNCTION("""COMPUTED_VALUE"""),"")</f>
        <v/>
      </c>
      <c r="T715" s="14" t="e">
        <f ca="1"/>
        <v>#N/A</v>
      </c>
      <c r="U715" s="14" t="e">
        <f ca="1"/>
        <v>#N/A</v>
      </c>
      <c r="V715" s="14" t="e">
        <f ca="1"/>
        <v>#N/A</v>
      </c>
      <c r="W715" s="8" t="e">
        <f ca="1"/>
        <v>#N/A</v>
      </c>
      <c r="X715" s="14" t="e">
        <f ca="1"/>
        <v>#N/A</v>
      </c>
    </row>
    <row r="716" spans="19:24" ht="15.75" customHeight="1" x14ac:dyDescent="0.25">
      <c r="S716" s="14" t="str">
        <f ca="1">IFERROR(__xludf.DUMMYFUNCTION("""COMPUTED_VALUE"""),"")</f>
        <v/>
      </c>
      <c r="T716" s="14" t="e">
        <f ca="1"/>
        <v>#N/A</v>
      </c>
      <c r="U716" s="14" t="e">
        <f ca="1"/>
        <v>#N/A</v>
      </c>
      <c r="V716" s="14" t="e">
        <f ca="1"/>
        <v>#N/A</v>
      </c>
      <c r="W716" s="8" t="e">
        <f ca="1"/>
        <v>#N/A</v>
      </c>
      <c r="X716" s="14" t="e">
        <f ca="1"/>
        <v>#N/A</v>
      </c>
    </row>
    <row r="717" spans="19:24" ht="15.75" customHeight="1" x14ac:dyDescent="0.25">
      <c r="S717" s="14" t="str">
        <f ca="1">IFERROR(__xludf.DUMMYFUNCTION("""COMPUTED_VALUE"""),"")</f>
        <v/>
      </c>
      <c r="T717" s="14" t="e">
        <f ca="1"/>
        <v>#N/A</v>
      </c>
      <c r="U717" s="14" t="e">
        <f ca="1"/>
        <v>#N/A</v>
      </c>
      <c r="V717" s="14" t="e">
        <f ca="1"/>
        <v>#N/A</v>
      </c>
      <c r="W717" s="8" t="e">
        <f ca="1"/>
        <v>#N/A</v>
      </c>
      <c r="X717" s="14" t="e">
        <f ca="1"/>
        <v>#N/A</v>
      </c>
    </row>
    <row r="718" spans="19:24" ht="15.75" customHeight="1" x14ac:dyDescent="0.25">
      <c r="S718" s="14" t="str">
        <f ca="1">IFERROR(__xludf.DUMMYFUNCTION("""COMPUTED_VALUE"""),"")</f>
        <v/>
      </c>
      <c r="T718" s="14" t="e">
        <f ca="1"/>
        <v>#N/A</v>
      </c>
      <c r="U718" s="14" t="e">
        <f ca="1"/>
        <v>#N/A</v>
      </c>
      <c r="V718" s="14" t="e">
        <f ca="1"/>
        <v>#N/A</v>
      </c>
      <c r="W718" s="8" t="e">
        <f ca="1"/>
        <v>#N/A</v>
      </c>
      <c r="X718" s="14" t="e">
        <f ca="1"/>
        <v>#N/A</v>
      </c>
    </row>
    <row r="719" spans="19:24" ht="15.75" customHeight="1" x14ac:dyDescent="0.25">
      <c r="S719" s="14" t="str">
        <f ca="1">IFERROR(__xludf.DUMMYFUNCTION("""COMPUTED_VALUE"""),"")</f>
        <v/>
      </c>
      <c r="T719" s="14" t="e">
        <f ca="1"/>
        <v>#N/A</v>
      </c>
      <c r="U719" s="14" t="e">
        <f ca="1"/>
        <v>#N/A</v>
      </c>
      <c r="V719" s="14" t="e">
        <f ca="1"/>
        <v>#N/A</v>
      </c>
      <c r="W719" s="8" t="e">
        <f ca="1"/>
        <v>#N/A</v>
      </c>
      <c r="X719" s="14" t="e">
        <f ca="1"/>
        <v>#N/A</v>
      </c>
    </row>
    <row r="720" spans="19:24" ht="15.75" customHeight="1" x14ac:dyDescent="0.25">
      <c r="S720" s="14" t="str">
        <f ca="1">IFERROR(__xludf.DUMMYFUNCTION("""COMPUTED_VALUE"""),"")</f>
        <v/>
      </c>
      <c r="T720" s="14" t="e">
        <f ca="1"/>
        <v>#N/A</v>
      </c>
      <c r="U720" s="14" t="e">
        <f ca="1"/>
        <v>#N/A</v>
      </c>
      <c r="V720" s="14" t="e">
        <f ca="1"/>
        <v>#N/A</v>
      </c>
      <c r="W720" s="8" t="e">
        <f ca="1"/>
        <v>#N/A</v>
      </c>
      <c r="X720" s="14" t="e">
        <f ca="1"/>
        <v>#N/A</v>
      </c>
    </row>
    <row r="721" spans="19:24" ht="15.75" customHeight="1" x14ac:dyDescent="0.25">
      <c r="S721" s="14" t="str">
        <f ca="1">IFERROR(__xludf.DUMMYFUNCTION("""COMPUTED_VALUE"""),"")</f>
        <v/>
      </c>
      <c r="T721" s="14" t="e">
        <f ca="1"/>
        <v>#N/A</v>
      </c>
      <c r="U721" s="14" t="e">
        <f ca="1"/>
        <v>#N/A</v>
      </c>
      <c r="V721" s="14" t="e">
        <f ca="1"/>
        <v>#N/A</v>
      </c>
      <c r="W721" s="8" t="e">
        <f ca="1"/>
        <v>#N/A</v>
      </c>
      <c r="X721" s="14" t="e">
        <f ca="1"/>
        <v>#N/A</v>
      </c>
    </row>
    <row r="722" spans="19:24" ht="15.75" customHeight="1" x14ac:dyDescent="0.25">
      <c r="S722" s="14" t="str">
        <f ca="1">IFERROR(__xludf.DUMMYFUNCTION("""COMPUTED_VALUE"""),"")</f>
        <v/>
      </c>
      <c r="T722" s="14" t="e">
        <f ca="1"/>
        <v>#N/A</v>
      </c>
      <c r="U722" s="14" t="e">
        <f ca="1"/>
        <v>#N/A</v>
      </c>
      <c r="V722" s="14" t="e">
        <f ca="1"/>
        <v>#N/A</v>
      </c>
      <c r="W722" s="8" t="e">
        <f ca="1"/>
        <v>#N/A</v>
      </c>
      <c r="X722" s="14" t="e">
        <f ca="1"/>
        <v>#N/A</v>
      </c>
    </row>
    <row r="723" spans="19:24" ht="15.75" customHeight="1" x14ac:dyDescent="0.25">
      <c r="S723" s="14" t="str">
        <f ca="1">IFERROR(__xludf.DUMMYFUNCTION("""COMPUTED_VALUE"""),"")</f>
        <v/>
      </c>
      <c r="T723" s="14" t="e">
        <f ca="1"/>
        <v>#N/A</v>
      </c>
      <c r="U723" s="14" t="e">
        <f ca="1"/>
        <v>#N/A</v>
      </c>
      <c r="V723" s="14" t="e">
        <f ca="1"/>
        <v>#N/A</v>
      </c>
      <c r="W723" s="8" t="e">
        <f ca="1"/>
        <v>#N/A</v>
      </c>
      <c r="X723" s="14" t="e">
        <f ca="1"/>
        <v>#N/A</v>
      </c>
    </row>
    <row r="724" spans="19:24" ht="15.75" customHeight="1" x14ac:dyDescent="0.25">
      <c r="S724" s="14" t="str">
        <f ca="1">IFERROR(__xludf.DUMMYFUNCTION("""COMPUTED_VALUE"""),"")</f>
        <v/>
      </c>
      <c r="T724" s="14" t="e">
        <f ca="1"/>
        <v>#N/A</v>
      </c>
      <c r="U724" s="14" t="e">
        <f ca="1"/>
        <v>#N/A</v>
      </c>
      <c r="V724" s="14" t="e">
        <f ca="1"/>
        <v>#N/A</v>
      </c>
      <c r="W724" s="8" t="e">
        <f ca="1"/>
        <v>#N/A</v>
      </c>
      <c r="X724" s="14" t="e">
        <f ca="1"/>
        <v>#N/A</v>
      </c>
    </row>
    <row r="725" spans="19:24" ht="15.75" customHeight="1" x14ac:dyDescent="0.25">
      <c r="S725" s="14" t="str">
        <f ca="1">IFERROR(__xludf.DUMMYFUNCTION("""COMPUTED_VALUE"""),"")</f>
        <v/>
      </c>
      <c r="T725" s="14" t="e">
        <f ca="1"/>
        <v>#N/A</v>
      </c>
      <c r="U725" s="14" t="e">
        <f ca="1"/>
        <v>#N/A</v>
      </c>
      <c r="V725" s="14" t="e">
        <f ca="1"/>
        <v>#N/A</v>
      </c>
      <c r="W725" s="8" t="e">
        <f ca="1"/>
        <v>#N/A</v>
      </c>
      <c r="X725" s="14" t="e">
        <f ca="1"/>
        <v>#N/A</v>
      </c>
    </row>
    <row r="726" spans="19:24" ht="15.75" customHeight="1" x14ac:dyDescent="0.25">
      <c r="S726" s="14" t="str">
        <f ca="1">IFERROR(__xludf.DUMMYFUNCTION("""COMPUTED_VALUE"""),"")</f>
        <v/>
      </c>
      <c r="T726" s="14" t="e">
        <f ca="1"/>
        <v>#N/A</v>
      </c>
      <c r="U726" s="14" t="e">
        <f ca="1"/>
        <v>#N/A</v>
      </c>
      <c r="V726" s="14" t="e">
        <f ca="1"/>
        <v>#N/A</v>
      </c>
      <c r="W726" s="8" t="e">
        <f ca="1"/>
        <v>#N/A</v>
      </c>
      <c r="X726" s="14" t="e">
        <f ca="1"/>
        <v>#N/A</v>
      </c>
    </row>
    <row r="727" spans="19:24" ht="15.75" customHeight="1" x14ac:dyDescent="0.25">
      <c r="S727" s="14" t="str">
        <f ca="1">IFERROR(__xludf.DUMMYFUNCTION("""COMPUTED_VALUE"""),"")</f>
        <v/>
      </c>
      <c r="T727" s="14" t="e">
        <f ca="1"/>
        <v>#N/A</v>
      </c>
      <c r="U727" s="14" t="e">
        <f ca="1"/>
        <v>#N/A</v>
      </c>
      <c r="V727" s="14" t="e">
        <f ca="1"/>
        <v>#N/A</v>
      </c>
      <c r="W727" s="8" t="e">
        <f ca="1"/>
        <v>#N/A</v>
      </c>
      <c r="X727" s="14" t="e">
        <f ca="1"/>
        <v>#N/A</v>
      </c>
    </row>
    <row r="728" spans="19:24" ht="15.75" customHeight="1" x14ac:dyDescent="0.25">
      <c r="S728" s="14" t="str">
        <f ca="1">IFERROR(__xludf.DUMMYFUNCTION("""COMPUTED_VALUE"""),"")</f>
        <v/>
      </c>
      <c r="T728" s="14" t="e">
        <f ca="1"/>
        <v>#N/A</v>
      </c>
      <c r="U728" s="14" t="e">
        <f ca="1"/>
        <v>#N/A</v>
      </c>
      <c r="V728" s="14" t="e">
        <f ca="1"/>
        <v>#N/A</v>
      </c>
      <c r="W728" s="8" t="e">
        <f ca="1"/>
        <v>#N/A</v>
      </c>
      <c r="X728" s="14" t="e">
        <f ca="1"/>
        <v>#N/A</v>
      </c>
    </row>
    <row r="729" spans="19:24" ht="15.75" customHeight="1" x14ac:dyDescent="0.25">
      <c r="S729" s="14" t="str">
        <f ca="1">IFERROR(__xludf.DUMMYFUNCTION("""COMPUTED_VALUE"""),"")</f>
        <v/>
      </c>
      <c r="T729" s="14" t="e">
        <f ca="1"/>
        <v>#N/A</v>
      </c>
      <c r="U729" s="14" t="e">
        <f ca="1"/>
        <v>#N/A</v>
      </c>
      <c r="V729" s="14" t="e">
        <f ca="1"/>
        <v>#N/A</v>
      </c>
      <c r="W729" s="8" t="e">
        <f ca="1"/>
        <v>#N/A</v>
      </c>
      <c r="X729" s="14" t="e">
        <f ca="1"/>
        <v>#N/A</v>
      </c>
    </row>
    <row r="730" spans="19:24" ht="15.75" customHeight="1" x14ac:dyDescent="0.25">
      <c r="S730" s="14" t="str">
        <f ca="1">IFERROR(__xludf.DUMMYFUNCTION("""COMPUTED_VALUE"""),"")</f>
        <v/>
      </c>
      <c r="T730" s="14" t="e">
        <f ca="1"/>
        <v>#N/A</v>
      </c>
      <c r="U730" s="14" t="e">
        <f ca="1"/>
        <v>#N/A</v>
      </c>
      <c r="V730" s="14" t="e">
        <f ca="1"/>
        <v>#N/A</v>
      </c>
      <c r="W730" s="8" t="e">
        <f ca="1"/>
        <v>#N/A</v>
      </c>
      <c r="X730" s="14" t="e">
        <f ca="1"/>
        <v>#N/A</v>
      </c>
    </row>
    <row r="731" spans="19:24" ht="15.75" customHeight="1" x14ac:dyDescent="0.25">
      <c r="S731" s="14" t="str">
        <f ca="1">IFERROR(__xludf.DUMMYFUNCTION("""COMPUTED_VALUE"""),"")</f>
        <v/>
      </c>
      <c r="T731" s="14" t="e">
        <f ca="1"/>
        <v>#N/A</v>
      </c>
      <c r="U731" s="14" t="e">
        <f ca="1"/>
        <v>#N/A</v>
      </c>
      <c r="V731" s="14" t="e">
        <f ca="1"/>
        <v>#N/A</v>
      </c>
      <c r="W731" s="8" t="e">
        <f ca="1"/>
        <v>#N/A</v>
      </c>
      <c r="X731" s="14" t="e">
        <f ca="1"/>
        <v>#N/A</v>
      </c>
    </row>
    <row r="732" spans="19:24" ht="15.75" customHeight="1" x14ac:dyDescent="0.25">
      <c r="S732" s="14" t="str">
        <f ca="1">IFERROR(__xludf.DUMMYFUNCTION("""COMPUTED_VALUE"""),"")</f>
        <v/>
      </c>
      <c r="T732" s="14" t="e">
        <f ca="1"/>
        <v>#N/A</v>
      </c>
      <c r="U732" s="14" t="e">
        <f ca="1"/>
        <v>#N/A</v>
      </c>
      <c r="V732" s="14" t="e">
        <f ca="1"/>
        <v>#N/A</v>
      </c>
      <c r="W732" s="8" t="e">
        <f ca="1"/>
        <v>#N/A</v>
      </c>
      <c r="X732" s="14" t="e">
        <f ca="1"/>
        <v>#N/A</v>
      </c>
    </row>
    <row r="733" spans="19:24" ht="15.75" customHeight="1" x14ac:dyDescent="0.25">
      <c r="S733" s="14" t="str">
        <f ca="1">IFERROR(__xludf.DUMMYFUNCTION("""COMPUTED_VALUE"""),"")</f>
        <v/>
      </c>
      <c r="T733" s="14" t="e">
        <f ca="1"/>
        <v>#N/A</v>
      </c>
      <c r="U733" s="14" t="e">
        <f ca="1"/>
        <v>#N/A</v>
      </c>
      <c r="V733" s="14" t="e">
        <f ca="1"/>
        <v>#N/A</v>
      </c>
      <c r="W733" s="8" t="e">
        <f ca="1"/>
        <v>#N/A</v>
      </c>
      <c r="X733" s="14" t="e">
        <f ca="1"/>
        <v>#N/A</v>
      </c>
    </row>
    <row r="734" spans="19:24" ht="15.75" customHeight="1" x14ac:dyDescent="0.25">
      <c r="S734" s="14" t="str">
        <f ca="1">IFERROR(__xludf.DUMMYFUNCTION("""COMPUTED_VALUE"""),"")</f>
        <v/>
      </c>
      <c r="T734" s="14" t="e">
        <f ca="1"/>
        <v>#N/A</v>
      </c>
      <c r="U734" s="14" t="e">
        <f ca="1"/>
        <v>#N/A</v>
      </c>
      <c r="V734" s="14" t="e">
        <f ca="1"/>
        <v>#N/A</v>
      </c>
      <c r="W734" s="8" t="e">
        <f ca="1"/>
        <v>#N/A</v>
      </c>
      <c r="X734" s="14" t="e">
        <f ca="1"/>
        <v>#N/A</v>
      </c>
    </row>
    <row r="735" spans="19:24" ht="15.75" customHeight="1" x14ac:dyDescent="0.25">
      <c r="S735" s="14" t="str">
        <f ca="1">IFERROR(__xludf.DUMMYFUNCTION("""COMPUTED_VALUE"""),"")</f>
        <v/>
      </c>
      <c r="T735" s="14" t="e">
        <f ca="1"/>
        <v>#N/A</v>
      </c>
      <c r="U735" s="14" t="e">
        <f ca="1"/>
        <v>#N/A</v>
      </c>
      <c r="V735" s="14" t="e">
        <f ca="1"/>
        <v>#N/A</v>
      </c>
      <c r="W735" s="8" t="e">
        <f ca="1"/>
        <v>#N/A</v>
      </c>
      <c r="X735" s="14" t="e">
        <f ca="1"/>
        <v>#N/A</v>
      </c>
    </row>
    <row r="736" spans="19:24" ht="15.75" customHeight="1" x14ac:dyDescent="0.25">
      <c r="S736" s="14" t="str">
        <f ca="1">IFERROR(__xludf.DUMMYFUNCTION("""COMPUTED_VALUE"""),"")</f>
        <v/>
      </c>
      <c r="T736" s="14" t="e">
        <f ca="1"/>
        <v>#N/A</v>
      </c>
      <c r="U736" s="14" t="e">
        <f ca="1"/>
        <v>#N/A</v>
      </c>
      <c r="V736" s="14" t="e">
        <f ca="1"/>
        <v>#N/A</v>
      </c>
      <c r="W736" s="8" t="e">
        <f ca="1"/>
        <v>#N/A</v>
      </c>
      <c r="X736" s="14" t="e">
        <f ca="1"/>
        <v>#N/A</v>
      </c>
    </row>
    <row r="737" spans="19:24" ht="15.75" customHeight="1" x14ac:dyDescent="0.25">
      <c r="S737" s="14" t="str">
        <f ca="1">IFERROR(__xludf.DUMMYFUNCTION("""COMPUTED_VALUE"""),"")</f>
        <v/>
      </c>
      <c r="T737" s="14" t="e">
        <f ca="1"/>
        <v>#N/A</v>
      </c>
      <c r="U737" s="14" t="e">
        <f ca="1"/>
        <v>#N/A</v>
      </c>
      <c r="V737" s="14" t="e">
        <f ca="1"/>
        <v>#N/A</v>
      </c>
      <c r="W737" s="8" t="e">
        <f ca="1"/>
        <v>#N/A</v>
      </c>
      <c r="X737" s="14" t="e">
        <f ca="1"/>
        <v>#N/A</v>
      </c>
    </row>
    <row r="738" spans="19:24" ht="15.75" customHeight="1" x14ac:dyDescent="0.25">
      <c r="S738" s="14" t="str">
        <f ca="1">IFERROR(__xludf.DUMMYFUNCTION("""COMPUTED_VALUE"""),"")</f>
        <v/>
      </c>
      <c r="T738" s="14" t="e">
        <f ca="1"/>
        <v>#N/A</v>
      </c>
      <c r="U738" s="14" t="e">
        <f ca="1"/>
        <v>#N/A</v>
      </c>
      <c r="V738" s="14" t="e">
        <f ca="1"/>
        <v>#N/A</v>
      </c>
      <c r="W738" s="8" t="e">
        <f ca="1"/>
        <v>#N/A</v>
      </c>
      <c r="X738" s="14" t="e">
        <f ca="1"/>
        <v>#N/A</v>
      </c>
    </row>
    <row r="739" spans="19:24" ht="15.75" customHeight="1" x14ac:dyDescent="0.25">
      <c r="S739" s="14" t="str">
        <f ca="1">IFERROR(__xludf.DUMMYFUNCTION("""COMPUTED_VALUE"""),"")</f>
        <v/>
      </c>
      <c r="T739" s="14" t="e">
        <f ca="1"/>
        <v>#N/A</v>
      </c>
      <c r="U739" s="14" t="e">
        <f ca="1"/>
        <v>#N/A</v>
      </c>
      <c r="V739" s="14" t="e">
        <f ca="1"/>
        <v>#N/A</v>
      </c>
      <c r="W739" s="8" t="e">
        <f ca="1"/>
        <v>#N/A</v>
      </c>
      <c r="X739" s="14" t="e">
        <f ca="1"/>
        <v>#N/A</v>
      </c>
    </row>
    <row r="740" spans="19:24" ht="15.75" customHeight="1" x14ac:dyDescent="0.25">
      <c r="S740" s="14" t="str">
        <f ca="1">IFERROR(__xludf.DUMMYFUNCTION("""COMPUTED_VALUE"""),"")</f>
        <v/>
      </c>
      <c r="T740" s="14" t="e">
        <f ca="1"/>
        <v>#N/A</v>
      </c>
      <c r="U740" s="14" t="e">
        <f ca="1"/>
        <v>#N/A</v>
      </c>
      <c r="V740" s="14" t="e">
        <f ca="1"/>
        <v>#N/A</v>
      </c>
      <c r="W740" s="8" t="e">
        <f ca="1"/>
        <v>#N/A</v>
      </c>
      <c r="X740" s="14" t="e">
        <f ca="1"/>
        <v>#N/A</v>
      </c>
    </row>
    <row r="741" spans="19:24" ht="15.75" customHeight="1" x14ac:dyDescent="0.25">
      <c r="S741" s="14" t="str">
        <f ca="1">IFERROR(__xludf.DUMMYFUNCTION("""COMPUTED_VALUE"""),"")</f>
        <v/>
      </c>
      <c r="T741" s="14" t="e">
        <f ca="1"/>
        <v>#N/A</v>
      </c>
      <c r="U741" s="14" t="e">
        <f ca="1"/>
        <v>#N/A</v>
      </c>
      <c r="V741" s="14" t="e">
        <f ca="1"/>
        <v>#N/A</v>
      </c>
      <c r="W741" s="8" t="e">
        <f ca="1"/>
        <v>#N/A</v>
      </c>
      <c r="X741" s="14" t="e">
        <f ca="1"/>
        <v>#N/A</v>
      </c>
    </row>
    <row r="742" spans="19:24" ht="15.75" customHeight="1" x14ac:dyDescent="0.25">
      <c r="S742" s="14" t="str">
        <f ca="1">IFERROR(__xludf.DUMMYFUNCTION("""COMPUTED_VALUE"""),"")</f>
        <v/>
      </c>
      <c r="T742" s="14" t="e">
        <f ca="1"/>
        <v>#N/A</v>
      </c>
      <c r="U742" s="14" t="e">
        <f ca="1"/>
        <v>#N/A</v>
      </c>
      <c r="V742" s="14" t="e">
        <f ca="1"/>
        <v>#N/A</v>
      </c>
      <c r="W742" s="8" t="e">
        <f ca="1"/>
        <v>#N/A</v>
      </c>
      <c r="X742" s="14" t="e">
        <f ca="1"/>
        <v>#N/A</v>
      </c>
    </row>
    <row r="743" spans="19:24" ht="15.75" customHeight="1" x14ac:dyDescent="0.25">
      <c r="S743" s="14" t="str">
        <f ca="1">IFERROR(__xludf.DUMMYFUNCTION("""COMPUTED_VALUE"""),"")</f>
        <v/>
      </c>
      <c r="T743" s="14" t="e">
        <f ca="1"/>
        <v>#N/A</v>
      </c>
      <c r="U743" s="14" t="e">
        <f ca="1"/>
        <v>#N/A</v>
      </c>
      <c r="V743" s="14" t="e">
        <f ca="1"/>
        <v>#N/A</v>
      </c>
      <c r="W743" s="8" t="e">
        <f ca="1"/>
        <v>#N/A</v>
      </c>
      <c r="X743" s="14" t="e">
        <f ca="1"/>
        <v>#N/A</v>
      </c>
    </row>
    <row r="744" spans="19:24" ht="15.75" customHeight="1" x14ac:dyDescent="0.25">
      <c r="S744" s="14" t="str">
        <f ca="1">IFERROR(__xludf.DUMMYFUNCTION("""COMPUTED_VALUE"""),"")</f>
        <v/>
      </c>
      <c r="T744" s="14" t="e">
        <f ca="1"/>
        <v>#N/A</v>
      </c>
      <c r="U744" s="14" t="e">
        <f ca="1"/>
        <v>#N/A</v>
      </c>
      <c r="V744" s="14" t="e">
        <f ca="1"/>
        <v>#N/A</v>
      </c>
      <c r="W744" s="8" t="e">
        <f ca="1"/>
        <v>#N/A</v>
      </c>
      <c r="X744" s="14" t="e">
        <f ca="1"/>
        <v>#N/A</v>
      </c>
    </row>
    <row r="745" spans="19:24" ht="15.75" customHeight="1" x14ac:dyDescent="0.25">
      <c r="S745" s="14" t="str">
        <f ca="1">IFERROR(__xludf.DUMMYFUNCTION("""COMPUTED_VALUE"""),"")</f>
        <v/>
      </c>
      <c r="T745" s="14" t="e">
        <f ca="1"/>
        <v>#N/A</v>
      </c>
      <c r="U745" s="14" t="e">
        <f ca="1"/>
        <v>#N/A</v>
      </c>
      <c r="V745" s="14" t="e">
        <f ca="1"/>
        <v>#N/A</v>
      </c>
      <c r="W745" s="8" t="e">
        <f ca="1"/>
        <v>#N/A</v>
      </c>
      <c r="X745" s="14" t="e">
        <f ca="1"/>
        <v>#N/A</v>
      </c>
    </row>
    <row r="746" spans="19:24" ht="15.75" customHeight="1" x14ac:dyDescent="0.25">
      <c r="S746" s="14" t="str">
        <f ca="1">IFERROR(__xludf.DUMMYFUNCTION("""COMPUTED_VALUE"""),"")</f>
        <v/>
      </c>
      <c r="T746" s="14" t="e">
        <f ca="1"/>
        <v>#N/A</v>
      </c>
      <c r="U746" s="14" t="e">
        <f ca="1"/>
        <v>#N/A</v>
      </c>
      <c r="V746" s="14" t="e">
        <f ca="1"/>
        <v>#N/A</v>
      </c>
      <c r="W746" s="8" t="e">
        <f ca="1"/>
        <v>#N/A</v>
      </c>
      <c r="X746" s="14" t="e">
        <f ca="1"/>
        <v>#N/A</v>
      </c>
    </row>
    <row r="747" spans="19:24" ht="15.75" customHeight="1" x14ac:dyDescent="0.25">
      <c r="S747" s="14" t="str">
        <f ca="1">IFERROR(__xludf.DUMMYFUNCTION("""COMPUTED_VALUE"""),"")</f>
        <v/>
      </c>
      <c r="T747" s="14" t="e">
        <f ca="1"/>
        <v>#N/A</v>
      </c>
      <c r="U747" s="14" t="e">
        <f ca="1"/>
        <v>#N/A</v>
      </c>
      <c r="V747" s="14" t="e">
        <f ca="1"/>
        <v>#N/A</v>
      </c>
      <c r="W747" s="8" t="e">
        <f ca="1"/>
        <v>#N/A</v>
      </c>
      <c r="X747" s="14" t="e">
        <f ca="1"/>
        <v>#N/A</v>
      </c>
    </row>
    <row r="748" spans="19:24" ht="15.75" customHeight="1" x14ac:dyDescent="0.25">
      <c r="S748" s="14" t="str">
        <f ca="1">IFERROR(__xludf.DUMMYFUNCTION("""COMPUTED_VALUE"""),"")</f>
        <v/>
      </c>
      <c r="T748" s="14" t="e">
        <f ca="1"/>
        <v>#N/A</v>
      </c>
      <c r="U748" s="14" t="e">
        <f ca="1"/>
        <v>#N/A</v>
      </c>
      <c r="V748" s="14" t="e">
        <f ca="1"/>
        <v>#N/A</v>
      </c>
      <c r="W748" s="8" t="e">
        <f ca="1"/>
        <v>#N/A</v>
      </c>
      <c r="X748" s="14" t="e">
        <f ca="1"/>
        <v>#N/A</v>
      </c>
    </row>
    <row r="749" spans="19:24" ht="15.75" customHeight="1" x14ac:dyDescent="0.25">
      <c r="S749" s="14" t="str">
        <f ca="1">IFERROR(__xludf.DUMMYFUNCTION("""COMPUTED_VALUE"""),"")</f>
        <v/>
      </c>
      <c r="T749" s="14" t="e">
        <f ca="1"/>
        <v>#N/A</v>
      </c>
      <c r="U749" s="14" t="e">
        <f ca="1"/>
        <v>#N/A</v>
      </c>
      <c r="V749" s="14" t="e">
        <f ca="1"/>
        <v>#N/A</v>
      </c>
      <c r="W749" s="8" t="e">
        <f ca="1"/>
        <v>#N/A</v>
      </c>
      <c r="X749" s="14" t="e">
        <f ca="1"/>
        <v>#N/A</v>
      </c>
    </row>
    <row r="750" spans="19:24" ht="15.75" customHeight="1" x14ac:dyDescent="0.25">
      <c r="S750" s="14" t="str">
        <f ca="1">IFERROR(__xludf.DUMMYFUNCTION("""COMPUTED_VALUE"""),"")</f>
        <v/>
      </c>
      <c r="T750" s="14" t="e">
        <f ca="1"/>
        <v>#N/A</v>
      </c>
      <c r="U750" s="14" t="e">
        <f ca="1"/>
        <v>#N/A</v>
      </c>
      <c r="V750" s="14" t="e">
        <f ca="1"/>
        <v>#N/A</v>
      </c>
      <c r="W750" s="8" t="e">
        <f ca="1"/>
        <v>#N/A</v>
      </c>
      <c r="X750" s="14" t="e">
        <f ca="1"/>
        <v>#N/A</v>
      </c>
    </row>
    <row r="751" spans="19:24" ht="15.75" customHeight="1" x14ac:dyDescent="0.25">
      <c r="S751" s="14" t="str">
        <f ca="1">IFERROR(__xludf.DUMMYFUNCTION("""COMPUTED_VALUE"""),"")</f>
        <v/>
      </c>
      <c r="T751" s="14" t="e">
        <f ca="1"/>
        <v>#N/A</v>
      </c>
      <c r="U751" s="14" t="e">
        <f ca="1"/>
        <v>#N/A</v>
      </c>
      <c r="V751" s="14" t="e">
        <f ca="1"/>
        <v>#N/A</v>
      </c>
      <c r="W751" s="8" t="e">
        <f ca="1"/>
        <v>#N/A</v>
      </c>
      <c r="X751" s="14" t="e">
        <f ca="1"/>
        <v>#N/A</v>
      </c>
    </row>
    <row r="752" spans="19:24" ht="15.75" customHeight="1" x14ac:dyDescent="0.25">
      <c r="S752" s="14" t="str">
        <f ca="1">IFERROR(__xludf.DUMMYFUNCTION("""COMPUTED_VALUE"""),"")</f>
        <v/>
      </c>
      <c r="T752" s="14" t="e">
        <f ca="1"/>
        <v>#N/A</v>
      </c>
      <c r="U752" s="14" t="e">
        <f ca="1"/>
        <v>#N/A</v>
      </c>
      <c r="V752" s="14" t="e">
        <f ca="1"/>
        <v>#N/A</v>
      </c>
      <c r="W752" s="8" t="e">
        <f ca="1"/>
        <v>#N/A</v>
      </c>
      <c r="X752" s="14" t="e">
        <f ca="1"/>
        <v>#N/A</v>
      </c>
    </row>
    <row r="753" spans="19:24" ht="15.75" customHeight="1" x14ac:dyDescent="0.25">
      <c r="S753" s="14" t="str">
        <f ca="1">IFERROR(__xludf.DUMMYFUNCTION("""COMPUTED_VALUE"""),"")</f>
        <v/>
      </c>
      <c r="T753" s="14" t="e">
        <f ca="1"/>
        <v>#N/A</v>
      </c>
      <c r="U753" s="14" t="e">
        <f ca="1"/>
        <v>#N/A</v>
      </c>
      <c r="V753" s="14" t="e">
        <f ca="1"/>
        <v>#N/A</v>
      </c>
      <c r="W753" s="8" t="e">
        <f ca="1"/>
        <v>#N/A</v>
      </c>
      <c r="X753" s="14" t="e">
        <f ca="1"/>
        <v>#N/A</v>
      </c>
    </row>
    <row r="754" spans="19:24" ht="15.75" customHeight="1" x14ac:dyDescent="0.25">
      <c r="S754" s="14" t="str">
        <f ca="1">IFERROR(__xludf.DUMMYFUNCTION("""COMPUTED_VALUE"""),"")</f>
        <v/>
      </c>
      <c r="T754" s="14" t="e">
        <f ca="1"/>
        <v>#N/A</v>
      </c>
      <c r="U754" s="14" t="e">
        <f ca="1"/>
        <v>#N/A</v>
      </c>
      <c r="V754" s="14" t="e">
        <f ca="1"/>
        <v>#N/A</v>
      </c>
      <c r="W754" s="8" t="e">
        <f ca="1"/>
        <v>#N/A</v>
      </c>
      <c r="X754" s="14" t="e">
        <f ca="1"/>
        <v>#N/A</v>
      </c>
    </row>
    <row r="755" spans="19:24" ht="15.75" customHeight="1" x14ac:dyDescent="0.25">
      <c r="S755" s="14" t="str">
        <f ca="1">IFERROR(__xludf.DUMMYFUNCTION("""COMPUTED_VALUE"""),"")</f>
        <v/>
      </c>
      <c r="T755" s="14" t="e">
        <f ca="1"/>
        <v>#N/A</v>
      </c>
      <c r="U755" s="14" t="e">
        <f ca="1"/>
        <v>#N/A</v>
      </c>
      <c r="V755" s="14" t="e">
        <f ca="1"/>
        <v>#N/A</v>
      </c>
      <c r="W755" s="8" t="e">
        <f ca="1"/>
        <v>#N/A</v>
      </c>
      <c r="X755" s="14" t="e">
        <f ca="1"/>
        <v>#N/A</v>
      </c>
    </row>
    <row r="756" spans="19:24" ht="15.75" customHeight="1" x14ac:dyDescent="0.25">
      <c r="S756" s="14" t="str">
        <f ca="1">IFERROR(__xludf.DUMMYFUNCTION("""COMPUTED_VALUE"""),"")</f>
        <v/>
      </c>
      <c r="T756" s="14" t="e">
        <f ca="1"/>
        <v>#N/A</v>
      </c>
      <c r="U756" s="14" t="e">
        <f ca="1"/>
        <v>#N/A</v>
      </c>
      <c r="V756" s="14" t="e">
        <f ca="1"/>
        <v>#N/A</v>
      </c>
      <c r="W756" s="8" t="e">
        <f ca="1"/>
        <v>#N/A</v>
      </c>
      <c r="X756" s="14" t="e">
        <f ca="1"/>
        <v>#N/A</v>
      </c>
    </row>
    <row r="757" spans="19:24" ht="15.75" customHeight="1" x14ac:dyDescent="0.25">
      <c r="S757" s="14" t="str">
        <f ca="1">IFERROR(__xludf.DUMMYFUNCTION("""COMPUTED_VALUE"""),"")</f>
        <v/>
      </c>
      <c r="T757" s="14" t="e">
        <f ca="1"/>
        <v>#N/A</v>
      </c>
      <c r="U757" s="14" t="e">
        <f ca="1"/>
        <v>#N/A</v>
      </c>
      <c r="V757" s="14" t="e">
        <f ca="1"/>
        <v>#N/A</v>
      </c>
      <c r="W757" s="8" t="e">
        <f ca="1"/>
        <v>#N/A</v>
      </c>
      <c r="X757" s="14" t="e">
        <f ca="1"/>
        <v>#N/A</v>
      </c>
    </row>
    <row r="758" spans="19:24" ht="15.75" customHeight="1" x14ac:dyDescent="0.25">
      <c r="S758" s="14" t="str">
        <f ca="1">IFERROR(__xludf.DUMMYFUNCTION("""COMPUTED_VALUE"""),"")</f>
        <v/>
      </c>
      <c r="T758" s="14" t="e">
        <f ca="1"/>
        <v>#N/A</v>
      </c>
      <c r="U758" s="14" t="e">
        <f ca="1"/>
        <v>#N/A</v>
      </c>
      <c r="V758" s="14" t="e">
        <f ca="1"/>
        <v>#N/A</v>
      </c>
      <c r="W758" s="8" t="e">
        <f ca="1"/>
        <v>#N/A</v>
      </c>
      <c r="X758" s="14" t="e">
        <f ca="1"/>
        <v>#N/A</v>
      </c>
    </row>
    <row r="759" spans="19:24" ht="15.75" customHeight="1" x14ac:dyDescent="0.25">
      <c r="S759" s="14" t="str">
        <f ca="1">IFERROR(__xludf.DUMMYFUNCTION("""COMPUTED_VALUE"""),"")</f>
        <v/>
      </c>
      <c r="T759" s="14" t="e">
        <f ca="1"/>
        <v>#N/A</v>
      </c>
      <c r="U759" s="14" t="e">
        <f ca="1"/>
        <v>#N/A</v>
      </c>
      <c r="V759" s="14" t="e">
        <f ca="1"/>
        <v>#N/A</v>
      </c>
      <c r="W759" s="8" t="e">
        <f ca="1"/>
        <v>#N/A</v>
      </c>
      <c r="X759" s="14" t="e">
        <f ca="1"/>
        <v>#N/A</v>
      </c>
    </row>
    <row r="760" spans="19:24" ht="15.75" customHeight="1" x14ac:dyDescent="0.25">
      <c r="S760" s="14" t="str">
        <f ca="1">IFERROR(__xludf.DUMMYFUNCTION("""COMPUTED_VALUE"""),"")</f>
        <v/>
      </c>
      <c r="T760" s="14" t="e">
        <f ca="1"/>
        <v>#N/A</v>
      </c>
      <c r="U760" s="14" t="e">
        <f ca="1"/>
        <v>#N/A</v>
      </c>
      <c r="V760" s="14" t="e">
        <f ca="1"/>
        <v>#N/A</v>
      </c>
      <c r="W760" s="8" t="e">
        <f ca="1"/>
        <v>#N/A</v>
      </c>
      <c r="X760" s="14" t="e">
        <f ca="1"/>
        <v>#N/A</v>
      </c>
    </row>
    <row r="761" spans="19:24" ht="15.75" customHeight="1" x14ac:dyDescent="0.25">
      <c r="S761" s="14" t="str">
        <f ca="1">IFERROR(__xludf.DUMMYFUNCTION("""COMPUTED_VALUE"""),"")</f>
        <v/>
      </c>
      <c r="T761" s="14" t="e">
        <f ca="1"/>
        <v>#N/A</v>
      </c>
      <c r="U761" s="14" t="e">
        <f ca="1"/>
        <v>#N/A</v>
      </c>
      <c r="V761" s="14" t="e">
        <f ca="1"/>
        <v>#N/A</v>
      </c>
      <c r="W761" s="8" t="e">
        <f ca="1"/>
        <v>#N/A</v>
      </c>
      <c r="X761" s="14" t="e">
        <f ca="1"/>
        <v>#N/A</v>
      </c>
    </row>
    <row r="762" spans="19:24" ht="15.75" customHeight="1" x14ac:dyDescent="0.25">
      <c r="S762" s="14" t="str">
        <f ca="1">IFERROR(__xludf.DUMMYFUNCTION("""COMPUTED_VALUE"""),"")</f>
        <v/>
      </c>
      <c r="T762" s="14" t="e">
        <f ca="1"/>
        <v>#N/A</v>
      </c>
      <c r="U762" s="14" t="e">
        <f ca="1"/>
        <v>#N/A</v>
      </c>
      <c r="V762" s="14" t="e">
        <f ca="1"/>
        <v>#N/A</v>
      </c>
      <c r="W762" s="8" t="e">
        <f ca="1"/>
        <v>#N/A</v>
      </c>
      <c r="X762" s="14" t="e">
        <f ca="1"/>
        <v>#N/A</v>
      </c>
    </row>
    <row r="763" spans="19:24" ht="15.75" customHeight="1" x14ac:dyDescent="0.25">
      <c r="S763" s="14" t="str">
        <f ca="1">IFERROR(__xludf.DUMMYFUNCTION("""COMPUTED_VALUE"""),"")</f>
        <v/>
      </c>
      <c r="T763" s="14" t="e">
        <f ca="1"/>
        <v>#N/A</v>
      </c>
      <c r="U763" s="14" t="e">
        <f ca="1"/>
        <v>#N/A</v>
      </c>
      <c r="V763" s="14" t="e">
        <f ca="1"/>
        <v>#N/A</v>
      </c>
      <c r="W763" s="8" t="e">
        <f ca="1"/>
        <v>#N/A</v>
      </c>
      <c r="X763" s="14" t="e">
        <f ca="1"/>
        <v>#N/A</v>
      </c>
    </row>
    <row r="764" spans="19:24" ht="15.75" customHeight="1" x14ac:dyDescent="0.25">
      <c r="S764" s="14" t="str">
        <f ca="1">IFERROR(__xludf.DUMMYFUNCTION("""COMPUTED_VALUE"""),"")</f>
        <v/>
      </c>
      <c r="T764" s="14" t="e">
        <f ca="1"/>
        <v>#N/A</v>
      </c>
      <c r="U764" s="14" t="e">
        <f ca="1"/>
        <v>#N/A</v>
      </c>
      <c r="V764" s="14" t="e">
        <f ca="1"/>
        <v>#N/A</v>
      </c>
      <c r="W764" s="8" t="e">
        <f ca="1"/>
        <v>#N/A</v>
      </c>
      <c r="X764" s="14" t="e">
        <f ca="1"/>
        <v>#N/A</v>
      </c>
    </row>
    <row r="765" spans="19:24" ht="15.75" customHeight="1" x14ac:dyDescent="0.25">
      <c r="S765" s="14" t="str">
        <f ca="1">IFERROR(__xludf.DUMMYFUNCTION("""COMPUTED_VALUE"""),"")</f>
        <v/>
      </c>
      <c r="T765" s="14" t="e">
        <f ca="1"/>
        <v>#N/A</v>
      </c>
      <c r="U765" s="14" t="e">
        <f ca="1"/>
        <v>#N/A</v>
      </c>
      <c r="V765" s="14" t="e">
        <f ca="1"/>
        <v>#N/A</v>
      </c>
      <c r="W765" s="8" t="e">
        <f ca="1"/>
        <v>#N/A</v>
      </c>
      <c r="X765" s="14" t="e">
        <f ca="1"/>
        <v>#N/A</v>
      </c>
    </row>
    <row r="766" spans="19:24" ht="15.75" customHeight="1" x14ac:dyDescent="0.25">
      <c r="S766" s="14" t="str">
        <f ca="1">IFERROR(__xludf.DUMMYFUNCTION("""COMPUTED_VALUE"""),"")</f>
        <v/>
      </c>
      <c r="T766" s="14" t="e">
        <f ca="1"/>
        <v>#N/A</v>
      </c>
      <c r="U766" s="14" t="e">
        <f ca="1"/>
        <v>#N/A</v>
      </c>
      <c r="V766" s="14" t="e">
        <f ca="1"/>
        <v>#N/A</v>
      </c>
      <c r="W766" s="8" t="e">
        <f ca="1"/>
        <v>#N/A</v>
      </c>
      <c r="X766" s="14" t="e">
        <f ca="1"/>
        <v>#N/A</v>
      </c>
    </row>
    <row r="767" spans="19:24" ht="15.75" customHeight="1" x14ac:dyDescent="0.25">
      <c r="S767" s="14" t="str">
        <f ca="1">IFERROR(__xludf.DUMMYFUNCTION("""COMPUTED_VALUE"""),"")</f>
        <v/>
      </c>
      <c r="T767" s="14" t="e">
        <f ca="1"/>
        <v>#N/A</v>
      </c>
      <c r="U767" s="14" t="e">
        <f ca="1"/>
        <v>#N/A</v>
      </c>
      <c r="V767" s="14" t="e">
        <f ca="1"/>
        <v>#N/A</v>
      </c>
      <c r="W767" s="8" t="e">
        <f ca="1"/>
        <v>#N/A</v>
      </c>
      <c r="X767" s="14" t="e">
        <f ca="1"/>
        <v>#N/A</v>
      </c>
    </row>
    <row r="768" spans="19:24" ht="15.75" customHeight="1" x14ac:dyDescent="0.25">
      <c r="S768" s="14" t="str">
        <f ca="1">IFERROR(__xludf.DUMMYFUNCTION("""COMPUTED_VALUE"""),"")</f>
        <v/>
      </c>
      <c r="T768" s="14" t="e">
        <f ca="1"/>
        <v>#N/A</v>
      </c>
      <c r="U768" s="14" t="e">
        <f ca="1"/>
        <v>#N/A</v>
      </c>
      <c r="V768" s="14" t="e">
        <f ca="1"/>
        <v>#N/A</v>
      </c>
      <c r="W768" s="8" t="e">
        <f ca="1"/>
        <v>#N/A</v>
      </c>
      <c r="X768" s="14" t="e">
        <f ca="1"/>
        <v>#N/A</v>
      </c>
    </row>
    <row r="769" spans="19:24" ht="15.75" customHeight="1" x14ac:dyDescent="0.25">
      <c r="S769" s="14" t="str">
        <f ca="1">IFERROR(__xludf.DUMMYFUNCTION("""COMPUTED_VALUE"""),"")</f>
        <v/>
      </c>
      <c r="T769" s="14" t="e">
        <f ca="1"/>
        <v>#N/A</v>
      </c>
      <c r="U769" s="14" t="e">
        <f ca="1"/>
        <v>#N/A</v>
      </c>
      <c r="V769" s="14" t="e">
        <f ca="1"/>
        <v>#N/A</v>
      </c>
      <c r="W769" s="8" t="e">
        <f ca="1"/>
        <v>#N/A</v>
      </c>
      <c r="X769" s="14" t="e">
        <f ca="1"/>
        <v>#N/A</v>
      </c>
    </row>
    <row r="770" spans="19:24" ht="15.75" customHeight="1" x14ac:dyDescent="0.25">
      <c r="S770" s="14" t="str">
        <f ca="1">IFERROR(__xludf.DUMMYFUNCTION("""COMPUTED_VALUE"""),"")</f>
        <v/>
      </c>
      <c r="T770" s="14" t="e">
        <f ca="1"/>
        <v>#N/A</v>
      </c>
      <c r="U770" s="14" t="e">
        <f ca="1"/>
        <v>#N/A</v>
      </c>
      <c r="V770" s="14" t="e">
        <f ca="1"/>
        <v>#N/A</v>
      </c>
      <c r="W770" s="8" t="e">
        <f ca="1"/>
        <v>#N/A</v>
      </c>
      <c r="X770" s="14" t="e">
        <f ca="1"/>
        <v>#N/A</v>
      </c>
    </row>
    <row r="771" spans="19:24" ht="15.75" customHeight="1" x14ac:dyDescent="0.25">
      <c r="S771" s="14" t="str">
        <f ca="1">IFERROR(__xludf.DUMMYFUNCTION("""COMPUTED_VALUE"""),"")</f>
        <v/>
      </c>
      <c r="T771" s="14" t="e">
        <f ca="1"/>
        <v>#N/A</v>
      </c>
      <c r="U771" s="14" t="e">
        <f ca="1"/>
        <v>#N/A</v>
      </c>
      <c r="V771" s="14" t="e">
        <f ca="1"/>
        <v>#N/A</v>
      </c>
      <c r="W771" s="8" t="e">
        <f ca="1"/>
        <v>#N/A</v>
      </c>
      <c r="X771" s="14" t="e">
        <f ca="1"/>
        <v>#N/A</v>
      </c>
    </row>
    <row r="772" spans="19:24" ht="15.75" customHeight="1" x14ac:dyDescent="0.25">
      <c r="S772" s="14" t="str">
        <f ca="1">IFERROR(__xludf.DUMMYFUNCTION("""COMPUTED_VALUE"""),"")</f>
        <v/>
      </c>
      <c r="T772" s="14" t="e">
        <f ca="1"/>
        <v>#N/A</v>
      </c>
      <c r="U772" s="14" t="e">
        <f ca="1"/>
        <v>#N/A</v>
      </c>
      <c r="V772" s="14" t="e">
        <f ca="1"/>
        <v>#N/A</v>
      </c>
      <c r="W772" s="8" t="e">
        <f ca="1"/>
        <v>#N/A</v>
      </c>
      <c r="X772" s="14" t="e">
        <f ca="1"/>
        <v>#N/A</v>
      </c>
    </row>
    <row r="773" spans="19:24" ht="15.75" customHeight="1" x14ac:dyDescent="0.25">
      <c r="S773" s="14" t="str">
        <f ca="1">IFERROR(__xludf.DUMMYFUNCTION("""COMPUTED_VALUE"""),"")</f>
        <v/>
      </c>
      <c r="T773" s="14" t="e">
        <f ca="1"/>
        <v>#N/A</v>
      </c>
      <c r="U773" s="14" t="e">
        <f ca="1"/>
        <v>#N/A</v>
      </c>
      <c r="V773" s="14" t="e">
        <f ca="1"/>
        <v>#N/A</v>
      </c>
      <c r="W773" s="8" t="e">
        <f ca="1"/>
        <v>#N/A</v>
      </c>
      <c r="X773" s="14" t="e">
        <f ca="1"/>
        <v>#N/A</v>
      </c>
    </row>
    <row r="774" spans="19:24" ht="15.75" customHeight="1" x14ac:dyDescent="0.25">
      <c r="S774" s="14" t="str">
        <f ca="1">IFERROR(__xludf.DUMMYFUNCTION("""COMPUTED_VALUE"""),"")</f>
        <v/>
      </c>
      <c r="T774" s="14" t="e">
        <f ca="1"/>
        <v>#N/A</v>
      </c>
      <c r="U774" s="14" t="e">
        <f ca="1"/>
        <v>#N/A</v>
      </c>
      <c r="V774" s="14" t="e">
        <f ca="1"/>
        <v>#N/A</v>
      </c>
      <c r="W774" s="8" t="e">
        <f ca="1"/>
        <v>#N/A</v>
      </c>
      <c r="X774" s="14" t="e">
        <f ca="1"/>
        <v>#N/A</v>
      </c>
    </row>
    <row r="775" spans="19:24" ht="15.75" customHeight="1" x14ac:dyDescent="0.25">
      <c r="S775" s="14" t="str">
        <f ca="1">IFERROR(__xludf.DUMMYFUNCTION("""COMPUTED_VALUE"""),"")</f>
        <v/>
      </c>
      <c r="T775" s="14" t="e">
        <f ca="1"/>
        <v>#N/A</v>
      </c>
      <c r="U775" s="14" t="e">
        <f ca="1"/>
        <v>#N/A</v>
      </c>
      <c r="V775" s="14" t="e">
        <f ca="1"/>
        <v>#N/A</v>
      </c>
      <c r="W775" s="8" t="e">
        <f ca="1"/>
        <v>#N/A</v>
      </c>
      <c r="X775" s="14" t="e">
        <f ca="1"/>
        <v>#N/A</v>
      </c>
    </row>
    <row r="776" spans="19:24" ht="15.75" customHeight="1" x14ac:dyDescent="0.25">
      <c r="S776" s="14" t="str">
        <f ca="1">IFERROR(__xludf.DUMMYFUNCTION("""COMPUTED_VALUE"""),"")</f>
        <v/>
      </c>
      <c r="T776" s="14" t="e">
        <f ca="1"/>
        <v>#N/A</v>
      </c>
      <c r="U776" s="14" t="e">
        <f ca="1"/>
        <v>#N/A</v>
      </c>
      <c r="V776" s="14" t="e">
        <f ca="1"/>
        <v>#N/A</v>
      </c>
      <c r="W776" s="8" t="e">
        <f ca="1"/>
        <v>#N/A</v>
      </c>
      <c r="X776" s="14" t="e">
        <f ca="1"/>
        <v>#N/A</v>
      </c>
    </row>
    <row r="777" spans="19:24" ht="15.75" customHeight="1" x14ac:dyDescent="0.25">
      <c r="S777" s="14" t="str">
        <f ca="1">IFERROR(__xludf.DUMMYFUNCTION("""COMPUTED_VALUE"""),"")</f>
        <v/>
      </c>
      <c r="T777" s="14" t="e">
        <f ca="1"/>
        <v>#N/A</v>
      </c>
      <c r="U777" s="14" t="e">
        <f ca="1"/>
        <v>#N/A</v>
      </c>
      <c r="V777" s="14" t="e">
        <f ca="1"/>
        <v>#N/A</v>
      </c>
      <c r="W777" s="8" t="e">
        <f ca="1"/>
        <v>#N/A</v>
      </c>
      <c r="X777" s="14" t="e">
        <f ca="1"/>
        <v>#N/A</v>
      </c>
    </row>
    <row r="778" spans="19:24" ht="15.75" customHeight="1" x14ac:dyDescent="0.25">
      <c r="S778" s="14" t="str">
        <f ca="1">IFERROR(__xludf.DUMMYFUNCTION("""COMPUTED_VALUE"""),"")</f>
        <v/>
      </c>
      <c r="T778" s="14" t="e">
        <f ca="1"/>
        <v>#N/A</v>
      </c>
      <c r="U778" s="14" t="e">
        <f ca="1"/>
        <v>#N/A</v>
      </c>
      <c r="V778" s="14" t="e">
        <f ca="1"/>
        <v>#N/A</v>
      </c>
      <c r="W778" s="8" t="e">
        <f ca="1"/>
        <v>#N/A</v>
      </c>
      <c r="X778" s="14" t="e">
        <f ca="1"/>
        <v>#N/A</v>
      </c>
    </row>
    <row r="779" spans="19:24" ht="15.75" customHeight="1" x14ac:dyDescent="0.25">
      <c r="S779" s="14" t="str">
        <f ca="1">IFERROR(__xludf.DUMMYFUNCTION("""COMPUTED_VALUE"""),"")</f>
        <v/>
      </c>
      <c r="T779" s="14" t="e">
        <f ca="1"/>
        <v>#N/A</v>
      </c>
      <c r="U779" s="14" t="e">
        <f ca="1"/>
        <v>#N/A</v>
      </c>
      <c r="V779" s="14" t="e">
        <f ca="1"/>
        <v>#N/A</v>
      </c>
      <c r="W779" s="8" t="e">
        <f ca="1"/>
        <v>#N/A</v>
      </c>
      <c r="X779" s="14" t="e">
        <f ca="1"/>
        <v>#N/A</v>
      </c>
    </row>
    <row r="780" spans="19:24" ht="15.75" customHeight="1" x14ac:dyDescent="0.25">
      <c r="S780" s="14" t="str">
        <f ca="1">IFERROR(__xludf.DUMMYFUNCTION("""COMPUTED_VALUE"""),"")</f>
        <v/>
      </c>
      <c r="T780" s="14" t="e">
        <f ca="1"/>
        <v>#N/A</v>
      </c>
      <c r="U780" s="14" t="e">
        <f ca="1"/>
        <v>#N/A</v>
      </c>
      <c r="V780" s="14" t="e">
        <f ca="1"/>
        <v>#N/A</v>
      </c>
      <c r="W780" s="8" t="e">
        <f ca="1"/>
        <v>#N/A</v>
      </c>
      <c r="X780" s="14" t="e">
        <f ca="1"/>
        <v>#N/A</v>
      </c>
    </row>
    <row r="781" spans="19:24" ht="15.75" customHeight="1" x14ac:dyDescent="0.25">
      <c r="S781" s="14" t="str">
        <f ca="1">IFERROR(__xludf.DUMMYFUNCTION("""COMPUTED_VALUE"""),"")</f>
        <v/>
      </c>
      <c r="T781" s="14" t="e">
        <f ca="1"/>
        <v>#N/A</v>
      </c>
      <c r="U781" s="14" t="e">
        <f ca="1"/>
        <v>#N/A</v>
      </c>
      <c r="V781" s="14" t="e">
        <f ca="1"/>
        <v>#N/A</v>
      </c>
      <c r="W781" s="8" t="e">
        <f ca="1"/>
        <v>#N/A</v>
      </c>
      <c r="X781" s="14" t="e">
        <f ca="1"/>
        <v>#N/A</v>
      </c>
    </row>
    <row r="782" spans="19:24" ht="15.75" customHeight="1" x14ac:dyDescent="0.25">
      <c r="S782" s="14" t="str">
        <f ca="1">IFERROR(__xludf.DUMMYFUNCTION("""COMPUTED_VALUE"""),"")</f>
        <v/>
      </c>
      <c r="T782" s="14" t="e">
        <f ca="1"/>
        <v>#N/A</v>
      </c>
      <c r="U782" s="14" t="e">
        <f ca="1"/>
        <v>#N/A</v>
      </c>
      <c r="V782" s="14" t="e">
        <f ca="1"/>
        <v>#N/A</v>
      </c>
      <c r="W782" s="8" t="e">
        <f ca="1"/>
        <v>#N/A</v>
      </c>
      <c r="X782" s="14" t="e">
        <f ca="1"/>
        <v>#N/A</v>
      </c>
    </row>
    <row r="783" spans="19:24" ht="15.75" customHeight="1" x14ac:dyDescent="0.25">
      <c r="S783" s="14" t="str">
        <f ca="1">IFERROR(__xludf.DUMMYFUNCTION("""COMPUTED_VALUE"""),"")</f>
        <v/>
      </c>
      <c r="T783" s="14" t="e">
        <f ca="1"/>
        <v>#N/A</v>
      </c>
      <c r="U783" s="14" t="e">
        <f ca="1"/>
        <v>#N/A</v>
      </c>
      <c r="V783" s="14" t="e">
        <f ca="1"/>
        <v>#N/A</v>
      </c>
      <c r="W783" s="8" t="e">
        <f ca="1"/>
        <v>#N/A</v>
      </c>
      <c r="X783" s="14" t="e">
        <f ca="1"/>
        <v>#N/A</v>
      </c>
    </row>
    <row r="784" spans="19:24" ht="15.75" customHeight="1" x14ac:dyDescent="0.25">
      <c r="S784" s="14" t="str">
        <f ca="1">IFERROR(__xludf.DUMMYFUNCTION("""COMPUTED_VALUE"""),"")</f>
        <v/>
      </c>
      <c r="T784" s="14" t="e">
        <f ca="1"/>
        <v>#N/A</v>
      </c>
      <c r="U784" s="14" t="e">
        <f ca="1"/>
        <v>#N/A</v>
      </c>
      <c r="V784" s="14" t="e">
        <f ca="1"/>
        <v>#N/A</v>
      </c>
      <c r="W784" s="8" t="e">
        <f ca="1"/>
        <v>#N/A</v>
      </c>
      <c r="X784" s="14" t="e">
        <f ca="1"/>
        <v>#N/A</v>
      </c>
    </row>
    <row r="785" spans="19:24" ht="15.75" customHeight="1" x14ac:dyDescent="0.25">
      <c r="S785" s="14" t="str">
        <f ca="1">IFERROR(__xludf.DUMMYFUNCTION("""COMPUTED_VALUE"""),"")</f>
        <v/>
      </c>
      <c r="T785" s="14" t="e">
        <f ca="1"/>
        <v>#N/A</v>
      </c>
      <c r="U785" s="14" t="e">
        <f ca="1"/>
        <v>#N/A</v>
      </c>
      <c r="V785" s="14" t="e">
        <f ca="1"/>
        <v>#N/A</v>
      </c>
      <c r="W785" s="8" t="e">
        <f ca="1"/>
        <v>#N/A</v>
      </c>
      <c r="X785" s="14" t="e">
        <f ca="1"/>
        <v>#N/A</v>
      </c>
    </row>
    <row r="786" spans="19:24" ht="15.75" customHeight="1" x14ac:dyDescent="0.25">
      <c r="S786" s="14" t="str">
        <f ca="1">IFERROR(__xludf.DUMMYFUNCTION("""COMPUTED_VALUE"""),"")</f>
        <v/>
      </c>
      <c r="T786" s="14" t="e">
        <f ca="1"/>
        <v>#N/A</v>
      </c>
      <c r="U786" s="14" t="e">
        <f ca="1"/>
        <v>#N/A</v>
      </c>
      <c r="V786" s="14" t="e">
        <f ca="1"/>
        <v>#N/A</v>
      </c>
      <c r="W786" s="8" t="e">
        <f ca="1"/>
        <v>#N/A</v>
      </c>
      <c r="X786" s="14" t="e">
        <f ca="1"/>
        <v>#N/A</v>
      </c>
    </row>
    <row r="787" spans="19:24" ht="15.75" customHeight="1" x14ac:dyDescent="0.25">
      <c r="S787" s="14" t="str">
        <f ca="1">IFERROR(__xludf.DUMMYFUNCTION("""COMPUTED_VALUE"""),"")</f>
        <v/>
      </c>
      <c r="T787" s="14" t="e">
        <f ca="1"/>
        <v>#N/A</v>
      </c>
      <c r="U787" s="14" t="e">
        <f ca="1"/>
        <v>#N/A</v>
      </c>
      <c r="V787" s="14" t="e">
        <f ca="1"/>
        <v>#N/A</v>
      </c>
      <c r="W787" s="8" t="e">
        <f ca="1"/>
        <v>#N/A</v>
      </c>
      <c r="X787" s="14" t="e">
        <f ca="1"/>
        <v>#N/A</v>
      </c>
    </row>
    <row r="788" spans="19:24" ht="15.75" customHeight="1" x14ac:dyDescent="0.25">
      <c r="S788" s="14" t="str">
        <f ca="1">IFERROR(__xludf.DUMMYFUNCTION("""COMPUTED_VALUE"""),"")</f>
        <v/>
      </c>
      <c r="T788" s="14" t="e">
        <f ca="1"/>
        <v>#N/A</v>
      </c>
      <c r="U788" s="14" t="e">
        <f ca="1"/>
        <v>#N/A</v>
      </c>
      <c r="V788" s="14" t="e">
        <f ca="1"/>
        <v>#N/A</v>
      </c>
      <c r="W788" s="8" t="e">
        <f ca="1"/>
        <v>#N/A</v>
      </c>
      <c r="X788" s="14" t="e">
        <f ca="1"/>
        <v>#N/A</v>
      </c>
    </row>
    <row r="789" spans="19:24" ht="15.75" customHeight="1" x14ac:dyDescent="0.25">
      <c r="S789" s="14" t="str">
        <f ca="1">IFERROR(__xludf.DUMMYFUNCTION("""COMPUTED_VALUE"""),"")</f>
        <v/>
      </c>
      <c r="T789" s="14" t="e">
        <f ca="1"/>
        <v>#N/A</v>
      </c>
      <c r="U789" s="14" t="e">
        <f ca="1"/>
        <v>#N/A</v>
      </c>
      <c r="V789" s="14" t="e">
        <f ca="1"/>
        <v>#N/A</v>
      </c>
      <c r="W789" s="8" t="e">
        <f ca="1"/>
        <v>#N/A</v>
      </c>
      <c r="X789" s="14" t="e">
        <f ca="1"/>
        <v>#N/A</v>
      </c>
    </row>
    <row r="790" spans="19:24" ht="15.75" customHeight="1" x14ac:dyDescent="0.25">
      <c r="S790" s="14" t="str">
        <f ca="1">IFERROR(__xludf.DUMMYFUNCTION("""COMPUTED_VALUE"""),"")</f>
        <v/>
      </c>
      <c r="T790" s="14" t="e">
        <f ca="1"/>
        <v>#N/A</v>
      </c>
      <c r="U790" s="14" t="e">
        <f ca="1"/>
        <v>#N/A</v>
      </c>
      <c r="V790" s="14" t="e">
        <f ca="1"/>
        <v>#N/A</v>
      </c>
      <c r="W790" s="8" t="e">
        <f ca="1"/>
        <v>#N/A</v>
      </c>
      <c r="X790" s="14" t="e">
        <f ca="1"/>
        <v>#N/A</v>
      </c>
    </row>
    <row r="791" spans="19:24" ht="15.75" customHeight="1" x14ac:dyDescent="0.25">
      <c r="S791" s="14" t="str">
        <f ca="1">IFERROR(__xludf.DUMMYFUNCTION("""COMPUTED_VALUE"""),"")</f>
        <v/>
      </c>
      <c r="T791" s="14" t="e">
        <f ca="1"/>
        <v>#N/A</v>
      </c>
      <c r="U791" s="14" t="e">
        <f ca="1"/>
        <v>#N/A</v>
      </c>
      <c r="V791" s="14" t="e">
        <f ca="1"/>
        <v>#N/A</v>
      </c>
      <c r="W791" s="8" t="e">
        <f ca="1"/>
        <v>#N/A</v>
      </c>
      <c r="X791" s="14" t="e">
        <f ca="1"/>
        <v>#N/A</v>
      </c>
    </row>
    <row r="792" spans="19:24" ht="15.75" customHeight="1" x14ac:dyDescent="0.25">
      <c r="S792" s="14" t="str">
        <f ca="1">IFERROR(__xludf.DUMMYFUNCTION("""COMPUTED_VALUE"""),"")</f>
        <v/>
      </c>
      <c r="T792" s="14" t="e">
        <f ca="1"/>
        <v>#N/A</v>
      </c>
      <c r="U792" s="14" t="e">
        <f ca="1"/>
        <v>#N/A</v>
      </c>
      <c r="V792" s="14" t="e">
        <f ca="1"/>
        <v>#N/A</v>
      </c>
      <c r="W792" s="8" t="e">
        <f ca="1"/>
        <v>#N/A</v>
      </c>
      <c r="X792" s="14" t="e">
        <f ca="1"/>
        <v>#N/A</v>
      </c>
    </row>
    <row r="793" spans="19:24" ht="15.75" customHeight="1" x14ac:dyDescent="0.25">
      <c r="S793" s="14" t="str">
        <f ca="1">IFERROR(__xludf.DUMMYFUNCTION("""COMPUTED_VALUE"""),"")</f>
        <v/>
      </c>
      <c r="T793" s="14" t="e">
        <f ca="1"/>
        <v>#N/A</v>
      </c>
      <c r="U793" s="14" t="e">
        <f ca="1"/>
        <v>#N/A</v>
      </c>
      <c r="V793" s="14" t="e">
        <f ca="1"/>
        <v>#N/A</v>
      </c>
      <c r="W793" s="8" t="e">
        <f ca="1"/>
        <v>#N/A</v>
      </c>
      <c r="X793" s="14" t="e">
        <f ca="1"/>
        <v>#N/A</v>
      </c>
    </row>
    <row r="794" spans="19:24" ht="15.75" customHeight="1" x14ac:dyDescent="0.25">
      <c r="S794" s="14" t="str">
        <f ca="1">IFERROR(__xludf.DUMMYFUNCTION("""COMPUTED_VALUE"""),"")</f>
        <v/>
      </c>
      <c r="T794" s="14" t="e">
        <f ca="1"/>
        <v>#N/A</v>
      </c>
      <c r="U794" s="14" t="e">
        <f ca="1"/>
        <v>#N/A</v>
      </c>
      <c r="V794" s="14" t="e">
        <f ca="1"/>
        <v>#N/A</v>
      </c>
      <c r="W794" s="8" t="e">
        <f ca="1"/>
        <v>#N/A</v>
      </c>
      <c r="X794" s="14" t="e">
        <f ca="1"/>
        <v>#N/A</v>
      </c>
    </row>
    <row r="795" spans="19:24" ht="15.75" customHeight="1" x14ac:dyDescent="0.25">
      <c r="S795" s="14" t="str">
        <f ca="1">IFERROR(__xludf.DUMMYFUNCTION("""COMPUTED_VALUE"""),"")</f>
        <v/>
      </c>
      <c r="T795" s="14" t="e">
        <f ca="1"/>
        <v>#N/A</v>
      </c>
      <c r="U795" s="14" t="e">
        <f ca="1"/>
        <v>#N/A</v>
      </c>
      <c r="V795" s="14" t="e">
        <f ca="1"/>
        <v>#N/A</v>
      </c>
      <c r="W795" s="8" t="e">
        <f ca="1"/>
        <v>#N/A</v>
      </c>
      <c r="X795" s="14" t="e">
        <f ca="1"/>
        <v>#N/A</v>
      </c>
    </row>
    <row r="796" spans="19:24" ht="15.75" customHeight="1" x14ac:dyDescent="0.25">
      <c r="S796" s="14" t="str">
        <f ca="1">IFERROR(__xludf.DUMMYFUNCTION("""COMPUTED_VALUE"""),"")</f>
        <v/>
      </c>
      <c r="T796" s="14" t="e">
        <f ca="1"/>
        <v>#N/A</v>
      </c>
      <c r="U796" s="14" t="e">
        <f ca="1"/>
        <v>#N/A</v>
      </c>
      <c r="V796" s="14" t="e">
        <f ca="1"/>
        <v>#N/A</v>
      </c>
      <c r="W796" s="8" t="e">
        <f ca="1"/>
        <v>#N/A</v>
      </c>
      <c r="X796" s="14" t="e">
        <f ca="1"/>
        <v>#N/A</v>
      </c>
    </row>
    <row r="797" spans="19:24" ht="15.75" customHeight="1" x14ac:dyDescent="0.25">
      <c r="S797" s="14" t="str">
        <f ca="1">IFERROR(__xludf.DUMMYFUNCTION("""COMPUTED_VALUE"""),"")</f>
        <v/>
      </c>
      <c r="T797" s="14" t="e">
        <f ca="1"/>
        <v>#N/A</v>
      </c>
      <c r="U797" s="14" t="e">
        <f ca="1"/>
        <v>#N/A</v>
      </c>
      <c r="V797" s="14" t="e">
        <f ca="1"/>
        <v>#N/A</v>
      </c>
      <c r="W797" s="8" t="e">
        <f ca="1"/>
        <v>#N/A</v>
      </c>
      <c r="X797" s="14" t="e">
        <f ca="1"/>
        <v>#N/A</v>
      </c>
    </row>
    <row r="798" spans="19:24" ht="15.75" customHeight="1" x14ac:dyDescent="0.25">
      <c r="S798" s="14" t="str">
        <f ca="1">IFERROR(__xludf.DUMMYFUNCTION("""COMPUTED_VALUE"""),"")</f>
        <v/>
      </c>
      <c r="T798" s="14" t="e">
        <f ca="1"/>
        <v>#N/A</v>
      </c>
      <c r="U798" s="14" t="e">
        <f ca="1"/>
        <v>#N/A</v>
      </c>
      <c r="V798" s="14" t="e">
        <f ca="1"/>
        <v>#N/A</v>
      </c>
      <c r="W798" s="8" t="e">
        <f ca="1"/>
        <v>#N/A</v>
      </c>
      <c r="X798" s="14" t="e">
        <f ca="1"/>
        <v>#N/A</v>
      </c>
    </row>
    <row r="799" spans="19:24" ht="15.75" customHeight="1" x14ac:dyDescent="0.25">
      <c r="S799" s="14" t="str">
        <f ca="1">IFERROR(__xludf.DUMMYFUNCTION("""COMPUTED_VALUE"""),"")</f>
        <v/>
      </c>
      <c r="T799" s="14" t="e">
        <f ca="1"/>
        <v>#N/A</v>
      </c>
      <c r="U799" s="14" t="e">
        <f ca="1"/>
        <v>#N/A</v>
      </c>
      <c r="V799" s="14" t="e">
        <f ca="1"/>
        <v>#N/A</v>
      </c>
      <c r="W799" s="8" t="e">
        <f ca="1"/>
        <v>#N/A</v>
      </c>
      <c r="X799" s="14" t="e">
        <f ca="1"/>
        <v>#N/A</v>
      </c>
    </row>
    <row r="800" spans="19:24" ht="15.75" customHeight="1" x14ac:dyDescent="0.25">
      <c r="S800" s="14" t="str">
        <f ca="1">IFERROR(__xludf.DUMMYFUNCTION("""COMPUTED_VALUE"""),"")</f>
        <v/>
      </c>
      <c r="T800" s="14" t="e">
        <f ca="1"/>
        <v>#N/A</v>
      </c>
      <c r="U800" s="14" t="e">
        <f ca="1"/>
        <v>#N/A</v>
      </c>
      <c r="V800" s="14" t="e">
        <f ca="1"/>
        <v>#N/A</v>
      </c>
      <c r="W800" s="8" t="e">
        <f ca="1"/>
        <v>#N/A</v>
      </c>
      <c r="X800" s="14" t="e">
        <f ca="1"/>
        <v>#N/A</v>
      </c>
    </row>
    <row r="801" spans="19:24" ht="15.75" customHeight="1" x14ac:dyDescent="0.25">
      <c r="S801" s="14" t="str">
        <f ca="1">IFERROR(__xludf.DUMMYFUNCTION("""COMPUTED_VALUE"""),"")</f>
        <v/>
      </c>
      <c r="T801" s="14" t="e">
        <f ca="1"/>
        <v>#N/A</v>
      </c>
      <c r="U801" s="14" t="e">
        <f ca="1"/>
        <v>#N/A</v>
      </c>
      <c r="V801" s="14" t="e">
        <f ca="1"/>
        <v>#N/A</v>
      </c>
      <c r="W801" s="8" t="e">
        <f ca="1"/>
        <v>#N/A</v>
      </c>
      <c r="X801" s="14" t="e">
        <f ca="1"/>
        <v>#N/A</v>
      </c>
    </row>
    <row r="802" spans="19:24" ht="15.75" customHeight="1" x14ac:dyDescent="0.25">
      <c r="S802" s="14" t="str">
        <f ca="1">IFERROR(__xludf.DUMMYFUNCTION("""COMPUTED_VALUE"""),"")</f>
        <v/>
      </c>
      <c r="T802" s="14" t="e">
        <f ca="1"/>
        <v>#N/A</v>
      </c>
      <c r="U802" s="14" t="e">
        <f ca="1"/>
        <v>#N/A</v>
      </c>
      <c r="V802" s="14" t="e">
        <f ca="1"/>
        <v>#N/A</v>
      </c>
      <c r="W802" s="8" t="e">
        <f ca="1"/>
        <v>#N/A</v>
      </c>
      <c r="X802" s="14" t="e">
        <f ca="1"/>
        <v>#N/A</v>
      </c>
    </row>
    <row r="803" spans="19:24" ht="15.75" customHeight="1" x14ac:dyDescent="0.25">
      <c r="S803" s="14" t="str">
        <f ca="1">IFERROR(__xludf.DUMMYFUNCTION("""COMPUTED_VALUE"""),"")</f>
        <v/>
      </c>
      <c r="T803" s="14" t="e">
        <f ca="1"/>
        <v>#N/A</v>
      </c>
      <c r="U803" s="14" t="e">
        <f ca="1"/>
        <v>#N/A</v>
      </c>
      <c r="V803" s="14" t="e">
        <f ca="1"/>
        <v>#N/A</v>
      </c>
      <c r="W803" s="8" t="e">
        <f ca="1"/>
        <v>#N/A</v>
      </c>
      <c r="X803" s="14" t="e">
        <f ca="1"/>
        <v>#N/A</v>
      </c>
    </row>
    <row r="804" spans="19:24" ht="15.75" customHeight="1" x14ac:dyDescent="0.25">
      <c r="S804" s="14" t="str">
        <f ca="1">IFERROR(__xludf.DUMMYFUNCTION("""COMPUTED_VALUE"""),"")</f>
        <v/>
      </c>
      <c r="T804" s="14" t="e">
        <f ca="1"/>
        <v>#N/A</v>
      </c>
      <c r="U804" s="14" t="e">
        <f ca="1"/>
        <v>#N/A</v>
      </c>
      <c r="V804" s="14" t="e">
        <f ca="1"/>
        <v>#N/A</v>
      </c>
      <c r="W804" s="8" t="e">
        <f ca="1"/>
        <v>#N/A</v>
      </c>
      <c r="X804" s="14" t="e">
        <f ca="1"/>
        <v>#N/A</v>
      </c>
    </row>
    <row r="805" spans="19:24" ht="15.75" customHeight="1" x14ac:dyDescent="0.25">
      <c r="S805" s="14" t="str">
        <f ca="1">IFERROR(__xludf.DUMMYFUNCTION("""COMPUTED_VALUE"""),"")</f>
        <v/>
      </c>
      <c r="T805" s="14" t="e">
        <f ca="1"/>
        <v>#N/A</v>
      </c>
      <c r="U805" s="14" t="e">
        <f ca="1"/>
        <v>#N/A</v>
      </c>
      <c r="V805" s="14" t="e">
        <f ca="1"/>
        <v>#N/A</v>
      </c>
      <c r="W805" s="8" t="e">
        <f ca="1"/>
        <v>#N/A</v>
      </c>
      <c r="X805" s="14" t="e">
        <f ca="1"/>
        <v>#N/A</v>
      </c>
    </row>
    <row r="806" spans="19:24" ht="15.75" customHeight="1" x14ac:dyDescent="0.25">
      <c r="S806" s="14" t="str">
        <f ca="1">IFERROR(__xludf.DUMMYFUNCTION("""COMPUTED_VALUE"""),"")</f>
        <v/>
      </c>
      <c r="T806" s="14" t="e">
        <f ca="1"/>
        <v>#N/A</v>
      </c>
      <c r="U806" s="14" t="e">
        <f ca="1"/>
        <v>#N/A</v>
      </c>
      <c r="V806" s="14" t="e">
        <f ca="1"/>
        <v>#N/A</v>
      </c>
      <c r="W806" s="8" t="e">
        <f ca="1"/>
        <v>#N/A</v>
      </c>
      <c r="X806" s="14" t="e">
        <f ca="1"/>
        <v>#N/A</v>
      </c>
    </row>
    <row r="807" spans="19:24" ht="15.75" customHeight="1" x14ac:dyDescent="0.25">
      <c r="S807" s="14" t="str">
        <f ca="1">IFERROR(__xludf.DUMMYFUNCTION("""COMPUTED_VALUE"""),"")</f>
        <v/>
      </c>
      <c r="T807" s="14" t="e">
        <f ca="1"/>
        <v>#N/A</v>
      </c>
      <c r="U807" s="14" t="e">
        <f ca="1"/>
        <v>#N/A</v>
      </c>
      <c r="V807" s="14" t="e">
        <f ca="1"/>
        <v>#N/A</v>
      </c>
      <c r="W807" s="8" t="e">
        <f ca="1"/>
        <v>#N/A</v>
      </c>
      <c r="X807" s="14" t="e">
        <f ca="1"/>
        <v>#N/A</v>
      </c>
    </row>
    <row r="808" spans="19:24" ht="15.75" customHeight="1" x14ac:dyDescent="0.25">
      <c r="S808" s="14" t="str">
        <f ca="1">IFERROR(__xludf.DUMMYFUNCTION("""COMPUTED_VALUE"""),"")</f>
        <v/>
      </c>
      <c r="T808" s="14" t="e">
        <f ca="1"/>
        <v>#N/A</v>
      </c>
      <c r="U808" s="14" t="e">
        <f ca="1"/>
        <v>#N/A</v>
      </c>
      <c r="V808" s="14" t="e">
        <f ca="1"/>
        <v>#N/A</v>
      </c>
      <c r="W808" s="8" t="e">
        <f ca="1"/>
        <v>#N/A</v>
      </c>
      <c r="X808" s="14" t="e">
        <f ca="1"/>
        <v>#N/A</v>
      </c>
    </row>
    <row r="809" spans="19:24" ht="15.75" customHeight="1" x14ac:dyDescent="0.25">
      <c r="S809" s="14" t="str">
        <f ca="1">IFERROR(__xludf.DUMMYFUNCTION("""COMPUTED_VALUE"""),"")</f>
        <v/>
      </c>
      <c r="T809" s="14" t="e">
        <f ca="1"/>
        <v>#N/A</v>
      </c>
      <c r="U809" s="14" t="e">
        <f ca="1"/>
        <v>#N/A</v>
      </c>
      <c r="V809" s="14" t="e">
        <f ca="1"/>
        <v>#N/A</v>
      </c>
      <c r="W809" s="8" t="e">
        <f ca="1"/>
        <v>#N/A</v>
      </c>
      <c r="X809" s="14" t="e">
        <f ca="1"/>
        <v>#N/A</v>
      </c>
    </row>
    <row r="810" spans="19:24" ht="15.75" customHeight="1" x14ac:dyDescent="0.25">
      <c r="S810" s="14" t="str">
        <f ca="1">IFERROR(__xludf.DUMMYFUNCTION("""COMPUTED_VALUE"""),"")</f>
        <v/>
      </c>
      <c r="T810" s="14" t="e">
        <f ca="1"/>
        <v>#N/A</v>
      </c>
      <c r="U810" s="14" t="e">
        <f ca="1"/>
        <v>#N/A</v>
      </c>
      <c r="V810" s="14" t="e">
        <f ca="1"/>
        <v>#N/A</v>
      </c>
      <c r="W810" s="8" t="e">
        <f ca="1"/>
        <v>#N/A</v>
      </c>
      <c r="X810" s="14" t="e">
        <f ca="1"/>
        <v>#N/A</v>
      </c>
    </row>
    <row r="811" spans="19:24" ht="15.75" customHeight="1" x14ac:dyDescent="0.25">
      <c r="S811" s="14" t="str">
        <f ca="1">IFERROR(__xludf.DUMMYFUNCTION("""COMPUTED_VALUE"""),"")</f>
        <v/>
      </c>
      <c r="T811" s="14" t="e">
        <f ca="1"/>
        <v>#N/A</v>
      </c>
      <c r="U811" s="14" t="e">
        <f ca="1"/>
        <v>#N/A</v>
      </c>
      <c r="V811" s="14" t="e">
        <f ca="1"/>
        <v>#N/A</v>
      </c>
      <c r="W811" s="8" t="e">
        <f ca="1"/>
        <v>#N/A</v>
      </c>
      <c r="X811" s="14" t="e">
        <f ca="1"/>
        <v>#N/A</v>
      </c>
    </row>
    <row r="812" spans="19:24" ht="15.75" customHeight="1" x14ac:dyDescent="0.25">
      <c r="S812" s="14" t="str">
        <f ca="1">IFERROR(__xludf.DUMMYFUNCTION("""COMPUTED_VALUE"""),"")</f>
        <v/>
      </c>
      <c r="T812" s="14" t="e">
        <f ca="1"/>
        <v>#N/A</v>
      </c>
      <c r="U812" s="14" t="e">
        <f ca="1"/>
        <v>#N/A</v>
      </c>
      <c r="V812" s="14" t="e">
        <f ca="1"/>
        <v>#N/A</v>
      </c>
      <c r="W812" s="8" t="e">
        <f ca="1"/>
        <v>#N/A</v>
      </c>
      <c r="X812" s="14" t="e">
        <f ca="1"/>
        <v>#N/A</v>
      </c>
    </row>
    <row r="813" spans="19:24" ht="15.75" customHeight="1" x14ac:dyDescent="0.25">
      <c r="S813" s="14" t="str">
        <f ca="1">IFERROR(__xludf.DUMMYFUNCTION("""COMPUTED_VALUE"""),"")</f>
        <v/>
      </c>
      <c r="T813" s="14" t="e">
        <f ca="1"/>
        <v>#N/A</v>
      </c>
      <c r="U813" s="14" t="e">
        <f ca="1"/>
        <v>#N/A</v>
      </c>
      <c r="V813" s="14" t="e">
        <f ca="1"/>
        <v>#N/A</v>
      </c>
      <c r="W813" s="8" t="e">
        <f ca="1"/>
        <v>#N/A</v>
      </c>
      <c r="X813" s="14" t="e">
        <f ca="1"/>
        <v>#N/A</v>
      </c>
    </row>
    <row r="814" spans="19:24" ht="15.75" customHeight="1" x14ac:dyDescent="0.25">
      <c r="S814" s="14" t="str">
        <f ca="1">IFERROR(__xludf.DUMMYFUNCTION("""COMPUTED_VALUE"""),"")</f>
        <v/>
      </c>
      <c r="T814" s="14" t="e">
        <f ca="1"/>
        <v>#N/A</v>
      </c>
      <c r="U814" s="14" t="e">
        <f ca="1"/>
        <v>#N/A</v>
      </c>
      <c r="V814" s="14" t="e">
        <f ca="1"/>
        <v>#N/A</v>
      </c>
      <c r="W814" s="8" t="e">
        <f ca="1"/>
        <v>#N/A</v>
      </c>
      <c r="X814" s="14" t="e">
        <f ca="1"/>
        <v>#N/A</v>
      </c>
    </row>
    <row r="815" spans="19:24" ht="15.75" customHeight="1" x14ac:dyDescent="0.25">
      <c r="S815" s="14" t="str">
        <f ca="1">IFERROR(__xludf.DUMMYFUNCTION("""COMPUTED_VALUE"""),"")</f>
        <v/>
      </c>
      <c r="T815" s="14" t="e">
        <f ca="1"/>
        <v>#N/A</v>
      </c>
      <c r="U815" s="14" t="e">
        <f ca="1"/>
        <v>#N/A</v>
      </c>
      <c r="V815" s="14" t="e">
        <f ca="1"/>
        <v>#N/A</v>
      </c>
      <c r="W815" s="8" t="e">
        <f ca="1"/>
        <v>#N/A</v>
      </c>
      <c r="X815" s="14" t="e">
        <f ca="1"/>
        <v>#N/A</v>
      </c>
    </row>
    <row r="816" spans="19:24" ht="15.75" customHeight="1" x14ac:dyDescent="0.25">
      <c r="S816" s="14" t="str">
        <f ca="1">IFERROR(__xludf.DUMMYFUNCTION("""COMPUTED_VALUE"""),"")</f>
        <v/>
      </c>
      <c r="T816" s="14" t="e">
        <f ca="1"/>
        <v>#N/A</v>
      </c>
      <c r="U816" s="14" t="e">
        <f ca="1"/>
        <v>#N/A</v>
      </c>
      <c r="V816" s="14" t="e">
        <f ca="1"/>
        <v>#N/A</v>
      </c>
      <c r="W816" s="8" t="e">
        <f ca="1"/>
        <v>#N/A</v>
      </c>
      <c r="X816" s="14" t="e">
        <f ca="1"/>
        <v>#N/A</v>
      </c>
    </row>
    <row r="817" spans="19:24" ht="15.75" customHeight="1" x14ac:dyDescent="0.25">
      <c r="S817" s="14" t="str">
        <f ca="1">IFERROR(__xludf.DUMMYFUNCTION("""COMPUTED_VALUE"""),"")</f>
        <v/>
      </c>
      <c r="T817" s="14" t="e">
        <f ca="1"/>
        <v>#N/A</v>
      </c>
      <c r="U817" s="14" t="e">
        <f ca="1"/>
        <v>#N/A</v>
      </c>
      <c r="V817" s="14" t="e">
        <f ca="1"/>
        <v>#N/A</v>
      </c>
      <c r="W817" s="8" t="e">
        <f ca="1"/>
        <v>#N/A</v>
      </c>
      <c r="X817" s="14" t="e">
        <f ca="1"/>
        <v>#N/A</v>
      </c>
    </row>
    <row r="818" spans="19:24" ht="15.75" customHeight="1" x14ac:dyDescent="0.25">
      <c r="S818" s="14" t="str">
        <f ca="1">IFERROR(__xludf.DUMMYFUNCTION("""COMPUTED_VALUE"""),"")</f>
        <v/>
      </c>
      <c r="T818" s="14" t="e">
        <f ca="1"/>
        <v>#N/A</v>
      </c>
      <c r="U818" s="14" t="e">
        <f ca="1"/>
        <v>#N/A</v>
      </c>
      <c r="V818" s="14" t="e">
        <f ca="1"/>
        <v>#N/A</v>
      </c>
      <c r="W818" s="8" t="e">
        <f ca="1"/>
        <v>#N/A</v>
      </c>
      <c r="X818" s="14" t="e">
        <f ca="1"/>
        <v>#N/A</v>
      </c>
    </row>
    <row r="819" spans="19:24" ht="15.75" customHeight="1" x14ac:dyDescent="0.25">
      <c r="S819" s="14" t="str">
        <f ca="1">IFERROR(__xludf.DUMMYFUNCTION("""COMPUTED_VALUE"""),"")</f>
        <v/>
      </c>
      <c r="T819" s="14" t="e">
        <f ca="1"/>
        <v>#N/A</v>
      </c>
      <c r="U819" s="14" t="e">
        <f ca="1"/>
        <v>#N/A</v>
      </c>
      <c r="V819" s="14" t="e">
        <f ca="1"/>
        <v>#N/A</v>
      </c>
      <c r="W819" s="8" t="e">
        <f ca="1"/>
        <v>#N/A</v>
      </c>
      <c r="X819" s="14" t="e">
        <f ca="1"/>
        <v>#N/A</v>
      </c>
    </row>
    <row r="820" spans="19:24" ht="15.75" customHeight="1" x14ac:dyDescent="0.25">
      <c r="S820" s="14" t="str">
        <f ca="1">IFERROR(__xludf.DUMMYFUNCTION("""COMPUTED_VALUE"""),"")</f>
        <v/>
      </c>
      <c r="T820" s="14" t="e">
        <f ca="1"/>
        <v>#N/A</v>
      </c>
      <c r="U820" s="14" t="e">
        <f ca="1"/>
        <v>#N/A</v>
      </c>
      <c r="V820" s="14" t="e">
        <f ca="1"/>
        <v>#N/A</v>
      </c>
      <c r="W820" s="8" t="e">
        <f ca="1"/>
        <v>#N/A</v>
      </c>
      <c r="X820" s="14" t="e">
        <f ca="1"/>
        <v>#N/A</v>
      </c>
    </row>
    <row r="821" spans="19:24" ht="15.75" customHeight="1" x14ac:dyDescent="0.25">
      <c r="S821" s="14" t="str">
        <f ca="1">IFERROR(__xludf.DUMMYFUNCTION("""COMPUTED_VALUE"""),"")</f>
        <v/>
      </c>
      <c r="T821" s="14" t="e">
        <f ca="1"/>
        <v>#N/A</v>
      </c>
      <c r="U821" s="14" t="e">
        <f ca="1"/>
        <v>#N/A</v>
      </c>
      <c r="V821" s="14" t="e">
        <f ca="1"/>
        <v>#N/A</v>
      </c>
      <c r="W821" s="8" t="e">
        <f ca="1"/>
        <v>#N/A</v>
      </c>
      <c r="X821" s="14" t="e">
        <f ca="1"/>
        <v>#N/A</v>
      </c>
    </row>
    <row r="822" spans="19:24" ht="15.75" customHeight="1" x14ac:dyDescent="0.25">
      <c r="S822" s="14" t="str">
        <f ca="1">IFERROR(__xludf.DUMMYFUNCTION("""COMPUTED_VALUE"""),"")</f>
        <v/>
      </c>
      <c r="T822" s="14" t="e">
        <f ca="1"/>
        <v>#N/A</v>
      </c>
      <c r="U822" s="14" t="e">
        <f ca="1"/>
        <v>#N/A</v>
      </c>
      <c r="V822" s="14" t="e">
        <f ca="1"/>
        <v>#N/A</v>
      </c>
      <c r="W822" s="8" t="e">
        <f ca="1"/>
        <v>#N/A</v>
      </c>
      <c r="X822" s="14" t="e">
        <f ca="1"/>
        <v>#N/A</v>
      </c>
    </row>
    <row r="823" spans="19:24" ht="15.75" customHeight="1" x14ac:dyDescent="0.25">
      <c r="S823" s="14" t="str">
        <f ca="1">IFERROR(__xludf.DUMMYFUNCTION("""COMPUTED_VALUE"""),"")</f>
        <v/>
      </c>
      <c r="T823" s="14" t="e">
        <f ca="1"/>
        <v>#N/A</v>
      </c>
      <c r="U823" s="14" t="e">
        <f ca="1"/>
        <v>#N/A</v>
      </c>
      <c r="V823" s="14" t="e">
        <f ca="1"/>
        <v>#N/A</v>
      </c>
      <c r="W823" s="8" t="e">
        <f ca="1"/>
        <v>#N/A</v>
      </c>
      <c r="X823" s="14" t="e">
        <f ca="1"/>
        <v>#N/A</v>
      </c>
    </row>
    <row r="824" spans="19:24" ht="15.75" customHeight="1" x14ac:dyDescent="0.25">
      <c r="S824" s="14" t="str">
        <f ca="1">IFERROR(__xludf.DUMMYFUNCTION("""COMPUTED_VALUE"""),"")</f>
        <v/>
      </c>
      <c r="T824" s="14" t="e">
        <f ca="1"/>
        <v>#N/A</v>
      </c>
      <c r="U824" s="14" t="e">
        <f ca="1"/>
        <v>#N/A</v>
      </c>
      <c r="V824" s="14" t="e">
        <f ca="1"/>
        <v>#N/A</v>
      </c>
      <c r="W824" s="8" t="e">
        <f ca="1"/>
        <v>#N/A</v>
      </c>
      <c r="X824" s="14" t="e">
        <f ca="1"/>
        <v>#N/A</v>
      </c>
    </row>
    <row r="825" spans="19:24" ht="15.75" customHeight="1" x14ac:dyDescent="0.25">
      <c r="S825" s="14" t="str">
        <f ca="1">IFERROR(__xludf.DUMMYFUNCTION("""COMPUTED_VALUE"""),"")</f>
        <v/>
      </c>
      <c r="T825" s="14" t="e">
        <f ca="1"/>
        <v>#N/A</v>
      </c>
      <c r="U825" s="14" t="e">
        <f ca="1"/>
        <v>#N/A</v>
      </c>
      <c r="V825" s="14" t="e">
        <f ca="1"/>
        <v>#N/A</v>
      </c>
      <c r="W825" s="8" t="e">
        <f ca="1"/>
        <v>#N/A</v>
      </c>
      <c r="X825" s="14" t="e">
        <f ca="1"/>
        <v>#N/A</v>
      </c>
    </row>
    <row r="826" spans="19:24" ht="15.75" customHeight="1" x14ac:dyDescent="0.25">
      <c r="S826" s="14" t="str">
        <f ca="1">IFERROR(__xludf.DUMMYFUNCTION("""COMPUTED_VALUE"""),"")</f>
        <v/>
      </c>
      <c r="T826" s="14" t="e">
        <f ca="1"/>
        <v>#N/A</v>
      </c>
      <c r="U826" s="14" t="e">
        <f ca="1"/>
        <v>#N/A</v>
      </c>
      <c r="V826" s="14" t="e">
        <f ca="1"/>
        <v>#N/A</v>
      </c>
      <c r="W826" s="8" t="e">
        <f ca="1"/>
        <v>#N/A</v>
      </c>
      <c r="X826" s="14" t="e">
        <f ca="1"/>
        <v>#N/A</v>
      </c>
    </row>
    <row r="827" spans="19:24" ht="15.75" customHeight="1" x14ac:dyDescent="0.25">
      <c r="S827" s="14" t="str">
        <f ca="1">IFERROR(__xludf.DUMMYFUNCTION("""COMPUTED_VALUE"""),"")</f>
        <v/>
      </c>
      <c r="T827" s="14" t="e">
        <f ca="1"/>
        <v>#N/A</v>
      </c>
      <c r="U827" s="14" t="e">
        <f ca="1"/>
        <v>#N/A</v>
      </c>
      <c r="V827" s="14" t="e">
        <f ca="1"/>
        <v>#N/A</v>
      </c>
      <c r="W827" s="8" t="e">
        <f ca="1"/>
        <v>#N/A</v>
      </c>
      <c r="X827" s="14" t="e">
        <f ca="1"/>
        <v>#N/A</v>
      </c>
    </row>
    <row r="828" spans="19:24" ht="15.75" customHeight="1" x14ac:dyDescent="0.25">
      <c r="S828" s="14" t="str">
        <f ca="1">IFERROR(__xludf.DUMMYFUNCTION("""COMPUTED_VALUE"""),"")</f>
        <v/>
      </c>
      <c r="T828" s="14" t="e">
        <f ca="1"/>
        <v>#N/A</v>
      </c>
      <c r="U828" s="14" t="e">
        <f ca="1"/>
        <v>#N/A</v>
      </c>
      <c r="V828" s="14" t="e">
        <f ca="1"/>
        <v>#N/A</v>
      </c>
      <c r="W828" s="8" t="e">
        <f ca="1"/>
        <v>#N/A</v>
      </c>
      <c r="X828" s="14" t="e">
        <f ca="1"/>
        <v>#N/A</v>
      </c>
    </row>
    <row r="829" spans="19:24" ht="15.75" customHeight="1" x14ac:dyDescent="0.25">
      <c r="S829" s="14" t="str">
        <f ca="1">IFERROR(__xludf.DUMMYFUNCTION("""COMPUTED_VALUE"""),"")</f>
        <v/>
      </c>
      <c r="T829" s="14" t="e">
        <f ca="1"/>
        <v>#N/A</v>
      </c>
      <c r="U829" s="14" t="e">
        <f ca="1"/>
        <v>#N/A</v>
      </c>
      <c r="V829" s="14" t="e">
        <f ca="1"/>
        <v>#N/A</v>
      </c>
      <c r="W829" s="8" t="e">
        <f ca="1"/>
        <v>#N/A</v>
      </c>
      <c r="X829" s="14" t="e">
        <f ca="1"/>
        <v>#N/A</v>
      </c>
    </row>
    <row r="830" spans="19:24" ht="15.75" customHeight="1" x14ac:dyDescent="0.25">
      <c r="S830" s="14" t="str">
        <f ca="1">IFERROR(__xludf.DUMMYFUNCTION("""COMPUTED_VALUE"""),"")</f>
        <v/>
      </c>
      <c r="T830" s="14" t="e">
        <f ca="1"/>
        <v>#N/A</v>
      </c>
      <c r="U830" s="14" t="e">
        <f ca="1"/>
        <v>#N/A</v>
      </c>
      <c r="V830" s="14" t="e">
        <f ca="1"/>
        <v>#N/A</v>
      </c>
      <c r="W830" s="8" t="e">
        <f ca="1"/>
        <v>#N/A</v>
      </c>
      <c r="X830" s="14" t="e">
        <f ca="1"/>
        <v>#N/A</v>
      </c>
    </row>
    <row r="831" spans="19:24" ht="15.75" customHeight="1" x14ac:dyDescent="0.25">
      <c r="S831" s="14" t="str">
        <f ca="1">IFERROR(__xludf.DUMMYFUNCTION("""COMPUTED_VALUE"""),"")</f>
        <v/>
      </c>
      <c r="T831" s="14" t="e">
        <f ca="1"/>
        <v>#N/A</v>
      </c>
      <c r="U831" s="14" t="e">
        <f ca="1"/>
        <v>#N/A</v>
      </c>
      <c r="V831" s="14" t="e">
        <f ca="1"/>
        <v>#N/A</v>
      </c>
      <c r="W831" s="8" t="e">
        <f ca="1"/>
        <v>#N/A</v>
      </c>
      <c r="X831" s="14" t="e">
        <f ca="1"/>
        <v>#N/A</v>
      </c>
    </row>
    <row r="832" spans="19:24" ht="15.75" customHeight="1" x14ac:dyDescent="0.25">
      <c r="S832" s="14" t="str">
        <f ca="1">IFERROR(__xludf.DUMMYFUNCTION("""COMPUTED_VALUE"""),"")</f>
        <v/>
      </c>
      <c r="T832" s="14" t="e">
        <f ca="1"/>
        <v>#N/A</v>
      </c>
      <c r="U832" s="14" t="e">
        <f ca="1"/>
        <v>#N/A</v>
      </c>
      <c r="V832" s="14" t="e">
        <f ca="1"/>
        <v>#N/A</v>
      </c>
      <c r="W832" s="8" t="e">
        <f ca="1"/>
        <v>#N/A</v>
      </c>
      <c r="X832" s="14" t="e">
        <f ca="1"/>
        <v>#N/A</v>
      </c>
    </row>
    <row r="833" spans="19:24" ht="15.75" customHeight="1" x14ac:dyDescent="0.25">
      <c r="S833" s="14" t="str">
        <f ca="1">IFERROR(__xludf.DUMMYFUNCTION("""COMPUTED_VALUE"""),"")</f>
        <v/>
      </c>
      <c r="T833" s="14" t="e">
        <f ca="1"/>
        <v>#N/A</v>
      </c>
      <c r="U833" s="14" t="e">
        <f ca="1"/>
        <v>#N/A</v>
      </c>
      <c r="V833" s="14" t="e">
        <f ca="1"/>
        <v>#N/A</v>
      </c>
      <c r="W833" s="8" t="e">
        <f ca="1"/>
        <v>#N/A</v>
      </c>
      <c r="X833" s="14" t="e">
        <f ca="1"/>
        <v>#N/A</v>
      </c>
    </row>
    <row r="834" spans="19:24" ht="15.75" customHeight="1" x14ac:dyDescent="0.25">
      <c r="S834" s="14" t="str">
        <f ca="1">IFERROR(__xludf.DUMMYFUNCTION("""COMPUTED_VALUE"""),"")</f>
        <v/>
      </c>
      <c r="T834" s="14" t="e">
        <f ca="1"/>
        <v>#N/A</v>
      </c>
      <c r="U834" s="14" t="e">
        <f ca="1"/>
        <v>#N/A</v>
      </c>
      <c r="V834" s="14" t="e">
        <f ca="1"/>
        <v>#N/A</v>
      </c>
      <c r="W834" s="8" t="e">
        <f ca="1"/>
        <v>#N/A</v>
      </c>
      <c r="X834" s="14" t="e">
        <f ca="1"/>
        <v>#N/A</v>
      </c>
    </row>
    <row r="835" spans="19:24" ht="15.75" customHeight="1" x14ac:dyDescent="0.25">
      <c r="S835" s="14" t="str">
        <f ca="1">IFERROR(__xludf.DUMMYFUNCTION("""COMPUTED_VALUE"""),"")</f>
        <v/>
      </c>
      <c r="T835" s="14" t="e">
        <f ca="1"/>
        <v>#N/A</v>
      </c>
      <c r="U835" s="14" t="e">
        <f ca="1"/>
        <v>#N/A</v>
      </c>
      <c r="V835" s="14" t="e">
        <f ca="1"/>
        <v>#N/A</v>
      </c>
      <c r="W835" s="8" t="e">
        <f ca="1"/>
        <v>#N/A</v>
      </c>
      <c r="X835" s="14" t="e">
        <f ca="1"/>
        <v>#N/A</v>
      </c>
    </row>
    <row r="836" spans="19:24" ht="15.75" customHeight="1" x14ac:dyDescent="0.25">
      <c r="S836" s="14" t="str">
        <f ca="1">IFERROR(__xludf.DUMMYFUNCTION("""COMPUTED_VALUE"""),"")</f>
        <v/>
      </c>
      <c r="T836" s="14" t="e">
        <f ca="1"/>
        <v>#N/A</v>
      </c>
      <c r="U836" s="14" t="e">
        <f ca="1"/>
        <v>#N/A</v>
      </c>
      <c r="V836" s="14" t="e">
        <f ca="1"/>
        <v>#N/A</v>
      </c>
      <c r="W836" s="8" t="e">
        <f ca="1"/>
        <v>#N/A</v>
      </c>
      <c r="X836" s="14" t="e">
        <f ca="1"/>
        <v>#N/A</v>
      </c>
    </row>
    <row r="837" spans="19:24" ht="15.75" customHeight="1" x14ac:dyDescent="0.25">
      <c r="S837" s="14" t="str">
        <f ca="1">IFERROR(__xludf.DUMMYFUNCTION("""COMPUTED_VALUE"""),"")</f>
        <v/>
      </c>
      <c r="T837" s="14" t="e">
        <f ca="1"/>
        <v>#N/A</v>
      </c>
      <c r="U837" s="14" t="e">
        <f ca="1"/>
        <v>#N/A</v>
      </c>
      <c r="V837" s="14" t="e">
        <f ca="1"/>
        <v>#N/A</v>
      </c>
      <c r="W837" s="8" t="e">
        <f ca="1"/>
        <v>#N/A</v>
      </c>
      <c r="X837" s="14" t="e">
        <f ca="1"/>
        <v>#N/A</v>
      </c>
    </row>
    <row r="838" spans="19:24" ht="15.75" customHeight="1" x14ac:dyDescent="0.25">
      <c r="S838" s="14" t="str">
        <f ca="1">IFERROR(__xludf.DUMMYFUNCTION("""COMPUTED_VALUE"""),"")</f>
        <v/>
      </c>
      <c r="T838" s="14" t="e">
        <f ca="1"/>
        <v>#N/A</v>
      </c>
      <c r="U838" s="14" t="e">
        <f ca="1"/>
        <v>#N/A</v>
      </c>
      <c r="V838" s="14" t="e">
        <f ca="1"/>
        <v>#N/A</v>
      </c>
      <c r="W838" s="8" t="e">
        <f ca="1"/>
        <v>#N/A</v>
      </c>
      <c r="X838" s="14" t="e">
        <f ca="1"/>
        <v>#N/A</v>
      </c>
    </row>
    <row r="839" spans="19:24" ht="15.75" customHeight="1" x14ac:dyDescent="0.25">
      <c r="S839" s="14" t="str">
        <f ca="1">IFERROR(__xludf.DUMMYFUNCTION("""COMPUTED_VALUE"""),"")</f>
        <v/>
      </c>
      <c r="T839" s="14" t="e">
        <f ca="1"/>
        <v>#N/A</v>
      </c>
      <c r="U839" s="14" t="e">
        <f ca="1"/>
        <v>#N/A</v>
      </c>
      <c r="V839" s="14" t="e">
        <f ca="1"/>
        <v>#N/A</v>
      </c>
      <c r="W839" s="8" t="e">
        <f ca="1"/>
        <v>#N/A</v>
      </c>
      <c r="X839" s="14" t="e">
        <f ca="1"/>
        <v>#N/A</v>
      </c>
    </row>
    <row r="840" spans="19:24" ht="15.75" customHeight="1" x14ac:dyDescent="0.25">
      <c r="S840" s="14" t="str">
        <f ca="1">IFERROR(__xludf.DUMMYFUNCTION("""COMPUTED_VALUE"""),"")</f>
        <v/>
      </c>
      <c r="T840" s="14" t="e">
        <f ca="1"/>
        <v>#N/A</v>
      </c>
      <c r="U840" s="14" t="e">
        <f ca="1"/>
        <v>#N/A</v>
      </c>
      <c r="V840" s="14" t="e">
        <f ca="1"/>
        <v>#N/A</v>
      </c>
      <c r="W840" s="8" t="e">
        <f ca="1"/>
        <v>#N/A</v>
      </c>
      <c r="X840" s="14" t="e">
        <f ca="1"/>
        <v>#N/A</v>
      </c>
    </row>
    <row r="841" spans="19:24" ht="15.75" customHeight="1" x14ac:dyDescent="0.25">
      <c r="S841" s="14" t="str">
        <f ca="1">IFERROR(__xludf.DUMMYFUNCTION("""COMPUTED_VALUE"""),"")</f>
        <v/>
      </c>
      <c r="T841" s="14" t="e">
        <f ca="1"/>
        <v>#N/A</v>
      </c>
      <c r="U841" s="14" t="e">
        <f ca="1"/>
        <v>#N/A</v>
      </c>
      <c r="V841" s="14" t="e">
        <f ca="1"/>
        <v>#N/A</v>
      </c>
      <c r="W841" s="8" t="e">
        <f ca="1"/>
        <v>#N/A</v>
      </c>
      <c r="X841" s="14" t="e">
        <f ca="1"/>
        <v>#N/A</v>
      </c>
    </row>
    <row r="842" spans="19:24" ht="15.75" customHeight="1" x14ac:dyDescent="0.25">
      <c r="S842" s="14" t="str">
        <f ca="1">IFERROR(__xludf.DUMMYFUNCTION("""COMPUTED_VALUE"""),"")</f>
        <v/>
      </c>
      <c r="T842" s="14" t="e">
        <f ca="1"/>
        <v>#N/A</v>
      </c>
      <c r="U842" s="14" t="e">
        <f ca="1"/>
        <v>#N/A</v>
      </c>
      <c r="V842" s="14" t="e">
        <f ca="1"/>
        <v>#N/A</v>
      </c>
      <c r="W842" s="8" t="e">
        <f ca="1"/>
        <v>#N/A</v>
      </c>
      <c r="X842" s="14" t="e">
        <f ca="1"/>
        <v>#N/A</v>
      </c>
    </row>
    <row r="843" spans="19:24" ht="15.75" customHeight="1" x14ac:dyDescent="0.25">
      <c r="S843" s="14" t="str">
        <f ca="1">IFERROR(__xludf.DUMMYFUNCTION("""COMPUTED_VALUE"""),"")</f>
        <v/>
      </c>
      <c r="T843" s="14" t="e">
        <f ca="1"/>
        <v>#N/A</v>
      </c>
      <c r="U843" s="14" t="e">
        <f ca="1"/>
        <v>#N/A</v>
      </c>
      <c r="V843" s="14" t="e">
        <f ca="1"/>
        <v>#N/A</v>
      </c>
      <c r="W843" s="8" t="e">
        <f ca="1"/>
        <v>#N/A</v>
      </c>
      <c r="X843" s="14" t="e">
        <f ca="1"/>
        <v>#N/A</v>
      </c>
    </row>
    <row r="844" spans="19:24" ht="15.75" customHeight="1" x14ac:dyDescent="0.25">
      <c r="S844" s="14" t="str">
        <f ca="1">IFERROR(__xludf.DUMMYFUNCTION("""COMPUTED_VALUE"""),"")</f>
        <v/>
      </c>
      <c r="T844" s="14" t="e">
        <f ca="1"/>
        <v>#N/A</v>
      </c>
      <c r="U844" s="14" t="e">
        <f ca="1"/>
        <v>#N/A</v>
      </c>
      <c r="V844" s="14" t="e">
        <f ca="1"/>
        <v>#N/A</v>
      </c>
      <c r="W844" s="8" t="e">
        <f ca="1"/>
        <v>#N/A</v>
      </c>
      <c r="X844" s="14" t="e">
        <f ca="1"/>
        <v>#N/A</v>
      </c>
    </row>
    <row r="845" spans="19:24" ht="15.75" customHeight="1" x14ac:dyDescent="0.25">
      <c r="S845" s="14" t="str">
        <f ca="1">IFERROR(__xludf.DUMMYFUNCTION("""COMPUTED_VALUE"""),"")</f>
        <v/>
      </c>
      <c r="T845" s="14" t="e">
        <f ca="1"/>
        <v>#N/A</v>
      </c>
      <c r="U845" s="14" t="e">
        <f ca="1"/>
        <v>#N/A</v>
      </c>
      <c r="V845" s="14" t="e">
        <f ca="1"/>
        <v>#N/A</v>
      </c>
      <c r="W845" s="8" t="e">
        <f ca="1"/>
        <v>#N/A</v>
      </c>
      <c r="X845" s="14" t="e">
        <f ca="1"/>
        <v>#N/A</v>
      </c>
    </row>
    <row r="846" spans="19:24" ht="15.75" customHeight="1" x14ac:dyDescent="0.25">
      <c r="S846" s="14" t="str">
        <f ca="1">IFERROR(__xludf.DUMMYFUNCTION("""COMPUTED_VALUE"""),"")</f>
        <v/>
      </c>
      <c r="T846" s="14" t="e">
        <f ca="1"/>
        <v>#N/A</v>
      </c>
      <c r="U846" s="14" t="e">
        <f ca="1"/>
        <v>#N/A</v>
      </c>
      <c r="V846" s="14" t="e">
        <f ca="1"/>
        <v>#N/A</v>
      </c>
      <c r="W846" s="8" t="e">
        <f ca="1"/>
        <v>#N/A</v>
      </c>
      <c r="X846" s="14" t="e">
        <f ca="1"/>
        <v>#N/A</v>
      </c>
    </row>
    <row r="847" spans="19:24" ht="15.75" customHeight="1" x14ac:dyDescent="0.25">
      <c r="S847" s="14" t="str">
        <f ca="1">IFERROR(__xludf.DUMMYFUNCTION("""COMPUTED_VALUE"""),"")</f>
        <v/>
      </c>
      <c r="T847" s="14" t="e">
        <f ca="1"/>
        <v>#N/A</v>
      </c>
      <c r="U847" s="14" t="e">
        <f ca="1"/>
        <v>#N/A</v>
      </c>
      <c r="V847" s="14" t="e">
        <f ca="1"/>
        <v>#N/A</v>
      </c>
      <c r="W847" s="8" t="e">
        <f ca="1"/>
        <v>#N/A</v>
      </c>
      <c r="X847" s="14" t="e">
        <f ca="1"/>
        <v>#N/A</v>
      </c>
    </row>
    <row r="848" spans="19:24" ht="15.75" customHeight="1" x14ac:dyDescent="0.25">
      <c r="S848" s="14" t="str">
        <f ca="1">IFERROR(__xludf.DUMMYFUNCTION("""COMPUTED_VALUE"""),"")</f>
        <v/>
      </c>
      <c r="T848" s="14" t="e">
        <f ca="1"/>
        <v>#N/A</v>
      </c>
      <c r="U848" s="14" t="e">
        <f ca="1"/>
        <v>#N/A</v>
      </c>
      <c r="V848" s="14" t="e">
        <f ca="1"/>
        <v>#N/A</v>
      </c>
      <c r="W848" s="8" t="e">
        <f ca="1"/>
        <v>#N/A</v>
      </c>
      <c r="X848" s="14" t="e">
        <f ca="1"/>
        <v>#N/A</v>
      </c>
    </row>
    <row r="849" spans="19:24" ht="15.75" customHeight="1" x14ac:dyDescent="0.25">
      <c r="S849" s="14" t="str">
        <f ca="1">IFERROR(__xludf.DUMMYFUNCTION("""COMPUTED_VALUE"""),"")</f>
        <v/>
      </c>
      <c r="T849" s="14" t="e">
        <f ca="1"/>
        <v>#N/A</v>
      </c>
      <c r="U849" s="14" t="e">
        <f ca="1"/>
        <v>#N/A</v>
      </c>
      <c r="V849" s="14" t="e">
        <f ca="1"/>
        <v>#N/A</v>
      </c>
      <c r="W849" s="8" t="e">
        <f ca="1"/>
        <v>#N/A</v>
      </c>
      <c r="X849" s="14" t="e">
        <f ca="1"/>
        <v>#N/A</v>
      </c>
    </row>
    <row r="850" spans="19:24" ht="15.75" customHeight="1" x14ac:dyDescent="0.25">
      <c r="S850" s="14" t="str">
        <f ca="1">IFERROR(__xludf.DUMMYFUNCTION("""COMPUTED_VALUE"""),"")</f>
        <v/>
      </c>
      <c r="T850" s="14" t="e">
        <f ca="1"/>
        <v>#N/A</v>
      </c>
      <c r="U850" s="14" t="e">
        <f ca="1"/>
        <v>#N/A</v>
      </c>
      <c r="V850" s="14" t="e">
        <f ca="1"/>
        <v>#N/A</v>
      </c>
      <c r="W850" s="8" t="e">
        <f ca="1"/>
        <v>#N/A</v>
      </c>
      <c r="X850" s="14" t="e">
        <f ca="1"/>
        <v>#N/A</v>
      </c>
    </row>
    <row r="851" spans="19:24" ht="15.75" customHeight="1" x14ac:dyDescent="0.25">
      <c r="S851" s="14" t="str">
        <f ca="1">IFERROR(__xludf.DUMMYFUNCTION("""COMPUTED_VALUE"""),"")</f>
        <v/>
      </c>
      <c r="T851" s="14" t="e">
        <f ca="1"/>
        <v>#N/A</v>
      </c>
      <c r="U851" s="14" t="e">
        <f ca="1"/>
        <v>#N/A</v>
      </c>
      <c r="V851" s="14" t="e">
        <f ca="1"/>
        <v>#N/A</v>
      </c>
      <c r="W851" s="8" t="e">
        <f ca="1"/>
        <v>#N/A</v>
      </c>
      <c r="X851" s="14" t="e">
        <f ca="1"/>
        <v>#N/A</v>
      </c>
    </row>
    <row r="852" spans="19:24" ht="15.75" customHeight="1" x14ac:dyDescent="0.25">
      <c r="S852" s="14" t="str">
        <f ca="1">IFERROR(__xludf.DUMMYFUNCTION("""COMPUTED_VALUE"""),"")</f>
        <v/>
      </c>
      <c r="T852" s="14" t="e">
        <f ca="1"/>
        <v>#N/A</v>
      </c>
      <c r="U852" s="14" t="e">
        <f ca="1"/>
        <v>#N/A</v>
      </c>
      <c r="V852" s="14" t="e">
        <f ca="1"/>
        <v>#N/A</v>
      </c>
      <c r="W852" s="8" t="e">
        <f ca="1"/>
        <v>#N/A</v>
      </c>
      <c r="X852" s="14" t="e">
        <f ca="1"/>
        <v>#N/A</v>
      </c>
    </row>
    <row r="853" spans="19:24" ht="15.75" customHeight="1" x14ac:dyDescent="0.25">
      <c r="S853" s="14" t="str">
        <f ca="1">IFERROR(__xludf.DUMMYFUNCTION("""COMPUTED_VALUE"""),"")</f>
        <v/>
      </c>
      <c r="T853" s="14" t="e">
        <f ca="1"/>
        <v>#N/A</v>
      </c>
      <c r="U853" s="14" t="e">
        <f ca="1"/>
        <v>#N/A</v>
      </c>
      <c r="V853" s="14" t="e">
        <f ca="1"/>
        <v>#N/A</v>
      </c>
      <c r="W853" s="8" t="e">
        <f ca="1"/>
        <v>#N/A</v>
      </c>
      <c r="X853" s="14" t="e">
        <f ca="1"/>
        <v>#N/A</v>
      </c>
    </row>
    <row r="854" spans="19:24" ht="15.75" customHeight="1" x14ac:dyDescent="0.25">
      <c r="S854" s="14" t="str">
        <f ca="1">IFERROR(__xludf.DUMMYFUNCTION("""COMPUTED_VALUE"""),"")</f>
        <v/>
      </c>
      <c r="T854" s="14" t="e">
        <f ca="1"/>
        <v>#N/A</v>
      </c>
      <c r="U854" s="14" t="e">
        <f ca="1"/>
        <v>#N/A</v>
      </c>
      <c r="V854" s="14" t="e">
        <f ca="1"/>
        <v>#N/A</v>
      </c>
      <c r="W854" s="8" t="e">
        <f ca="1"/>
        <v>#N/A</v>
      </c>
      <c r="X854" s="14" t="e">
        <f ca="1"/>
        <v>#N/A</v>
      </c>
    </row>
    <row r="855" spans="19:24" ht="15.75" customHeight="1" x14ac:dyDescent="0.25">
      <c r="S855" s="14" t="str">
        <f ca="1">IFERROR(__xludf.DUMMYFUNCTION("""COMPUTED_VALUE"""),"")</f>
        <v/>
      </c>
      <c r="T855" s="14" t="e">
        <f ca="1"/>
        <v>#N/A</v>
      </c>
      <c r="U855" s="14" t="e">
        <f ca="1"/>
        <v>#N/A</v>
      </c>
      <c r="V855" s="14" t="e">
        <f ca="1"/>
        <v>#N/A</v>
      </c>
      <c r="W855" s="8" t="e">
        <f ca="1"/>
        <v>#N/A</v>
      </c>
      <c r="X855" s="14" t="e">
        <f ca="1"/>
        <v>#N/A</v>
      </c>
    </row>
    <row r="856" spans="19:24" ht="15.75" customHeight="1" x14ac:dyDescent="0.25">
      <c r="S856" s="14" t="str">
        <f ca="1">IFERROR(__xludf.DUMMYFUNCTION("""COMPUTED_VALUE"""),"")</f>
        <v/>
      </c>
      <c r="T856" s="14" t="e">
        <f ca="1"/>
        <v>#N/A</v>
      </c>
      <c r="U856" s="14" t="e">
        <f ca="1"/>
        <v>#N/A</v>
      </c>
      <c r="V856" s="14" t="e">
        <f ca="1"/>
        <v>#N/A</v>
      </c>
      <c r="W856" s="8" t="e">
        <f ca="1"/>
        <v>#N/A</v>
      </c>
      <c r="X856" s="14" t="e">
        <f ca="1"/>
        <v>#N/A</v>
      </c>
    </row>
    <row r="857" spans="19:24" ht="15.75" customHeight="1" x14ac:dyDescent="0.25">
      <c r="S857" s="14" t="str">
        <f ca="1">IFERROR(__xludf.DUMMYFUNCTION("""COMPUTED_VALUE"""),"")</f>
        <v/>
      </c>
      <c r="T857" s="14" t="e">
        <f ca="1"/>
        <v>#N/A</v>
      </c>
      <c r="U857" s="14" t="e">
        <f ca="1"/>
        <v>#N/A</v>
      </c>
      <c r="V857" s="14" t="e">
        <f ca="1"/>
        <v>#N/A</v>
      </c>
      <c r="W857" s="8" t="e">
        <f ca="1"/>
        <v>#N/A</v>
      </c>
      <c r="X857" s="14" t="e">
        <f ca="1"/>
        <v>#N/A</v>
      </c>
    </row>
    <row r="858" spans="19:24" ht="15.75" customHeight="1" x14ac:dyDescent="0.25">
      <c r="S858" s="14" t="str">
        <f ca="1">IFERROR(__xludf.DUMMYFUNCTION("""COMPUTED_VALUE"""),"")</f>
        <v/>
      </c>
      <c r="T858" s="14" t="e">
        <f ca="1"/>
        <v>#N/A</v>
      </c>
      <c r="U858" s="14" t="e">
        <f ca="1"/>
        <v>#N/A</v>
      </c>
      <c r="V858" s="14" t="e">
        <f ca="1"/>
        <v>#N/A</v>
      </c>
      <c r="W858" s="8" t="e">
        <f ca="1"/>
        <v>#N/A</v>
      </c>
      <c r="X858" s="14" t="e">
        <f ca="1"/>
        <v>#N/A</v>
      </c>
    </row>
    <row r="859" spans="19:24" ht="15.75" customHeight="1" x14ac:dyDescent="0.25">
      <c r="S859" s="14" t="str">
        <f ca="1">IFERROR(__xludf.DUMMYFUNCTION("""COMPUTED_VALUE"""),"")</f>
        <v/>
      </c>
      <c r="T859" s="14" t="e">
        <f ca="1"/>
        <v>#N/A</v>
      </c>
      <c r="U859" s="14" t="e">
        <f ca="1"/>
        <v>#N/A</v>
      </c>
      <c r="V859" s="14" t="e">
        <f ca="1"/>
        <v>#N/A</v>
      </c>
      <c r="W859" s="8" t="e">
        <f ca="1"/>
        <v>#N/A</v>
      </c>
      <c r="X859" s="14" t="e">
        <f ca="1"/>
        <v>#N/A</v>
      </c>
    </row>
    <row r="860" spans="19:24" ht="15.75" customHeight="1" x14ac:dyDescent="0.25">
      <c r="S860" s="14" t="str">
        <f ca="1">IFERROR(__xludf.DUMMYFUNCTION("""COMPUTED_VALUE"""),"")</f>
        <v/>
      </c>
      <c r="T860" s="14" t="e">
        <f ca="1"/>
        <v>#N/A</v>
      </c>
      <c r="U860" s="14" t="e">
        <f ca="1"/>
        <v>#N/A</v>
      </c>
      <c r="V860" s="14" t="e">
        <f ca="1"/>
        <v>#N/A</v>
      </c>
      <c r="W860" s="8" t="e">
        <f ca="1"/>
        <v>#N/A</v>
      </c>
      <c r="X860" s="14" t="e">
        <f ca="1"/>
        <v>#N/A</v>
      </c>
    </row>
    <row r="861" spans="19:24" ht="15.75" customHeight="1" x14ac:dyDescent="0.25">
      <c r="S861" s="14" t="str">
        <f ca="1">IFERROR(__xludf.DUMMYFUNCTION("""COMPUTED_VALUE"""),"")</f>
        <v/>
      </c>
      <c r="T861" s="14" t="e">
        <f ca="1"/>
        <v>#N/A</v>
      </c>
      <c r="U861" s="14" t="e">
        <f ca="1"/>
        <v>#N/A</v>
      </c>
      <c r="V861" s="14" t="e">
        <f ca="1"/>
        <v>#N/A</v>
      </c>
      <c r="W861" s="8" t="e">
        <f ca="1"/>
        <v>#N/A</v>
      </c>
      <c r="X861" s="14" t="e">
        <f ca="1"/>
        <v>#N/A</v>
      </c>
    </row>
    <row r="862" spans="19:24" ht="15.75" customHeight="1" x14ac:dyDescent="0.25">
      <c r="S862" s="14" t="str">
        <f ca="1">IFERROR(__xludf.DUMMYFUNCTION("""COMPUTED_VALUE"""),"")</f>
        <v/>
      </c>
      <c r="T862" s="14" t="e">
        <f ca="1"/>
        <v>#N/A</v>
      </c>
      <c r="U862" s="14" t="e">
        <f ca="1"/>
        <v>#N/A</v>
      </c>
      <c r="V862" s="14" t="e">
        <f ca="1"/>
        <v>#N/A</v>
      </c>
      <c r="W862" s="8" t="e">
        <f ca="1"/>
        <v>#N/A</v>
      </c>
      <c r="X862" s="14" t="e">
        <f ca="1"/>
        <v>#N/A</v>
      </c>
    </row>
    <row r="863" spans="19:24" ht="15.75" customHeight="1" x14ac:dyDescent="0.25">
      <c r="S863" s="14" t="str">
        <f ca="1">IFERROR(__xludf.DUMMYFUNCTION("""COMPUTED_VALUE"""),"")</f>
        <v/>
      </c>
      <c r="T863" s="14" t="e">
        <f ca="1"/>
        <v>#N/A</v>
      </c>
      <c r="U863" s="14" t="e">
        <f ca="1"/>
        <v>#N/A</v>
      </c>
      <c r="V863" s="14" t="e">
        <f ca="1"/>
        <v>#N/A</v>
      </c>
      <c r="W863" s="8" t="e">
        <f ca="1"/>
        <v>#N/A</v>
      </c>
      <c r="X863" s="14" t="e">
        <f ca="1"/>
        <v>#N/A</v>
      </c>
    </row>
    <row r="864" spans="19:24" ht="15.75" customHeight="1" x14ac:dyDescent="0.25">
      <c r="S864" s="14" t="str">
        <f ca="1">IFERROR(__xludf.DUMMYFUNCTION("""COMPUTED_VALUE"""),"")</f>
        <v/>
      </c>
      <c r="T864" s="14" t="e">
        <f ca="1"/>
        <v>#N/A</v>
      </c>
      <c r="U864" s="14" t="e">
        <f ca="1"/>
        <v>#N/A</v>
      </c>
      <c r="V864" s="14" t="e">
        <f ca="1"/>
        <v>#N/A</v>
      </c>
      <c r="W864" s="8" t="e">
        <f ca="1"/>
        <v>#N/A</v>
      </c>
      <c r="X864" s="14" t="e">
        <f ca="1"/>
        <v>#N/A</v>
      </c>
    </row>
    <row r="865" spans="19:24" ht="15.75" customHeight="1" x14ac:dyDescent="0.25">
      <c r="S865" s="14" t="str">
        <f ca="1">IFERROR(__xludf.DUMMYFUNCTION("""COMPUTED_VALUE"""),"")</f>
        <v/>
      </c>
      <c r="T865" s="14" t="e">
        <f ca="1"/>
        <v>#N/A</v>
      </c>
      <c r="U865" s="14" t="e">
        <f ca="1"/>
        <v>#N/A</v>
      </c>
      <c r="V865" s="14" t="e">
        <f ca="1"/>
        <v>#N/A</v>
      </c>
      <c r="W865" s="8" t="e">
        <f ca="1"/>
        <v>#N/A</v>
      </c>
      <c r="X865" s="14" t="e">
        <f ca="1"/>
        <v>#N/A</v>
      </c>
    </row>
    <row r="866" spans="19:24" ht="15.75" customHeight="1" x14ac:dyDescent="0.25">
      <c r="S866" s="14" t="str">
        <f ca="1">IFERROR(__xludf.DUMMYFUNCTION("""COMPUTED_VALUE"""),"")</f>
        <v/>
      </c>
      <c r="T866" s="14" t="e">
        <f ca="1"/>
        <v>#N/A</v>
      </c>
      <c r="U866" s="14" t="e">
        <f ca="1"/>
        <v>#N/A</v>
      </c>
      <c r="V866" s="14" t="e">
        <f ca="1"/>
        <v>#N/A</v>
      </c>
      <c r="W866" s="8" t="e">
        <f ca="1"/>
        <v>#N/A</v>
      </c>
      <c r="X866" s="14" t="e">
        <f ca="1"/>
        <v>#N/A</v>
      </c>
    </row>
    <row r="867" spans="19:24" ht="15.75" customHeight="1" x14ac:dyDescent="0.25">
      <c r="S867" s="14" t="str">
        <f ca="1">IFERROR(__xludf.DUMMYFUNCTION("""COMPUTED_VALUE"""),"")</f>
        <v/>
      </c>
      <c r="T867" s="14" t="e">
        <f ca="1"/>
        <v>#N/A</v>
      </c>
      <c r="U867" s="14" t="e">
        <f ca="1"/>
        <v>#N/A</v>
      </c>
      <c r="V867" s="14" t="e">
        <f ca="1"/>
        <v>#N/A</v>
      </c>
      <c r="W867" s="8" t="e">
        <f ca="1"/>
        <v>#N/A</v>
      </c>
      <c r="X867" s="14" t="e">
        <f ca="1"/>
        <v>#N/A</v>
      </c>
    </row>
    <row r="868" spans="19:24" ht="15.75" customHeight="1" x14ac:dyDescent="0.25">
      <c r="S868" s="14" t="str">
        <f ca="1">IFERROR(__xludf.DUMMYFUNCTION("""COMPUTED_VALUE"""),"")</f>
        <v/>
      </c>
      <c r="T868" s="14" t="e">
        <f ca="1"/>
        <v>#N/A</v>
      </c>
      <c r="U868" s="14" t="e">
        <f ca="1"/>
        <v>#N/A</v>
      </c>
      <c r="V868" s="14" t="e">
        <f ca="1"/>
        <v>#N/A</v>
      </c>
      <c r="W868" s="8" t="e">
        <f ca="1"/>
        <v>#N/A</v>
      </c>
      <c r="X868" s="14" t="e">
        <f ca="1"/>
        <v>#N/A</v>
      </c>
    </row>
    <row r="869" spans="19:24" ht="15.75" customHeight="1" x14ac:dyDescent="0.25">
      <c r="S869" s="14" t="str">
        <f ca="1">IFERROR(__xludf.DUMMYFUNCTION("""COMPUTED_VALUE"""),"")</f>
        <v/>
      </c>
      <c r="T869" s="14" t="e">
        <f ca="1"/>
        <v>#N/A</v>
      </c>
      <c r="U869" s="14" t="e">
        <f ca="1"/>
        <v>#N/A</v>
      </c>
      <c r="V869" s="14" t="e">
        <f ca="1"/>
        <v>#N/A</v>
      </c>
      <c r="W869" s="8" t="e">
        <f ca="1"/>
        <v>#N/A</v>
      </c>
      <c r="X869" s="14" t="e">
        <f ca="1"/>
        <v>#N/A</v>
      </c>
    </row>
    <row r="870" spans="19:24" ht="15.75" customHeight="1" x14ac:dyDescent="0.25">
      <c r="S870" s="14" t="str">
        <f ca="1">IFERROR(__xludf.DUMMYFUNCTION("""COMPUTED_VALUE"""),"")</f>
        <v/>
      </c>
      <c r="T870" s="14" t="e">
        <f ca="1"/>
        <v>#N/A</v>
      </c>
      <c r="U870" s="14" t="e">
        <f ca="1"/>
        <v>#N/A</v>
      </c>
      <c r="V870" s="14" t="e">
        <f ca="1"/>
        <v>#N/A</v>
      </c>
      <c r="W870" s="8" t="e">
        <f ca="1"/>
        <v>#N/A</v>
      </c>
      <c r="X870" s="14" t="e">
        <f ca="1"/>
        <v>#N/A</v>
      </c>
    </row>
    <row r="871" spans="19:24" ht="15.75" customHeight="1" x14ac:dyDescent="0.25">
      <c r="S871" s="14" t="str">
        <f ca="1">IFERROR(__xludf.DUMMYFUNCTION("""COMPUTED_VALUE"""),"")</f>
        <v/>
      </c>
      <c r="T871" s="14" t="e">
        <f ca="1"/>
        <v>#N/A</v>
      </c>
      <c r="U871" s="14" t="e">
        <f ca="1"/>
        <v>#N/A</v>
      </c>
      <c r="V871" s="14" t="e">
        <f ca="1"/>
        <v>#N/A</v>
      </c>
      <c r="W871" s="8" t="e">
        <f ca="1"/>
        <v>#N/A</v>
      </c>
      <c r="X871" s="14" t="e">
        <f ca="1"/>
        <v>#N/A</v>
      </c>
    </row>
    <row r="872" spans="19:24" ht="15.75" customHeight="1" x14ac:dyDescent="0.25">
      <c r="S872" s="14" t="str">
        <f ca="1">IFERROR(__xludf.DUMMYFUNCTION("""COMPUTED_VALUE"""),"")</f>
        <v/>
      </c>
      <c r="T872" s="14" t="e">
        <f ca="1"/>
        <v>#N/A</v>
      </c>
      <c r="U872" s="14" t="e">
        <f ca="1"/>
        <v>#N/A</v>
      </c>
      <c r="V872" s="14" t="e">
        <f ca="1"/>
        <v>#N/A</v>
      </c>
      <c r="W872" s="8" t="e">
        <f ca="1"/>
        <v>#N/A</v>
      </c>
      <c r="X872" s="14" t="e">
        <f ca="1"/>
        <v>#N/A</v>
      </c>
    </row>
    <row r="873" spans="19:24" ht="15.75" customHeight="1" x14ac:dyDescent="0.25">
      <c r="S873" s="14" t="str">
        <f ca="1">IFERROR(__xludf.DUMMYFUNCTION("""COMPUTED_VALUE"""),"")</f>
        <v/>
      </c>
      <c r="T873" s="14" t="e">
        <f ca="1"/>
        <v>#N/A</v>
      </c>
      <c r="U873" s="14" t="e">
        <f ca="1"/>
        <v>#N/A</v>
      </c>
      <c r="V873" s="14" t="e">
        <f ca="1"/>
        <v>#N/A</v>
      </c>
      <c r="W873" s="8" t="e">
        <f ca="1"/>
        <v>#N/A</v>
      </c>
      <c r="X873" s="14" t="e">
        <f ca="1"/>
        <v>#N/A</v>
      </c>
    </row>
    <row r="874" spans="19:24" ht="15.75" customHeight="1" x14ac:dyDescent="0.25">
      <c r="S874" s="14" t="str">
        <f ca="1">IFERROR(__xludf.DUMMYFUNCTION("""COMPUTED_VALUE"""),"")</f>
        <v/>
      </c>
      <c r="T874" s="14" t="e">
        <f ca="1"/>
        <v>#N/A</v>
      </c>
      <c r="U874" s="14" t="e">
        <f ca="1"/>
        <v>#N/A</v>
      </c>
      <c r="V874" s="14" t="e">
        <f ca="1"/>
        <v>#N/A</v>
      </c>
      <c r="W874" s="8" t="e">
        <f ca="1"/>
        <v>#N/A</v>
      </c>
      <c r="X874" s="14" t="e">
        <f ca="1"/>
        <v>#N/A</v>
      </c>
    </row>
    <row r="875" spans="19:24" ht="15.75" customHeight="1" x14ac:dyDescent="0.25">
      <c r="S875" s="14" t="str">
        <f ca="1">IFERROR(__xludf.DUMMYFUNCTION("""COMPUTED_VALUE"""),"")</f>
        <v/>
      </c>
      <c r="T875" s="14" t="e">
        <f ca="1"/>
        <v>#N/A</v>
      </c>
      <c r="U875" s="14" t="e">
        <f ca="1"/>
        <v>#N/A</v>
      </c>
      <c r="V875" s="14" t="e">
        <f ca="1"/>
        <v>#N/A</v>
      </c>
      <c r="W875" s="8" t="e">
        <f ca="1"/>
        <v>#N/A</v>
      </c>
      <c r="X875" s="14" t="e">
        <f ca="1"/>
        <v>#N/A</v>
      </c>
    </row>
    <row r="876" spans="19:24" ht="15.75" customHeight="1" x14ac:dyDescent="0.25">
      <c r="S876" s="14" t="str">
        <f ca="1">IFERROR(__xludf.DUMMYFUNCTION("""COMPUTED_VALUE"""),"")</f>
        <v/>
      </c>
      <c r="T876" s="14" t="e">
        <f ca="1"/>
        <v>#N/A</v>
      </c>
      <c r="U876" s="14" t="e">
        <f ca="1"/>
        <v>#N/A</v>
      </c>
      <c r="V876" s="14" t="e">
        <f ca="1"/>
        <v>#N/A</v>
      </c>
      <c r="W876" s="8" t="e">
        <f ca="1"/>
        <v>#N/A</v>
      </c>
      <c r="X876" s="14" t="e">
        <f ca="1"/>
        <v>#N/A</v>
      </c>
    </row>
    <row r="877" spans="19:24" ht="15.75" customHeight="1" x14ac:dyDescent="0.25">
      <c r="S877" s="14" t="str">
        <f ca="1">IFERROR(__xludf.DUMMYFUNCTION("""COMPUTED_VALUE"""),"")</f>
        <v/>
      </c>
      <c r="T877" s="14" t="e">
        <f ca="1"/>
        <v>#N/A</v>
      </c>
      <c r="U877" s="14" t="e">
        <f ca="1"/>
        <v>#N/A</v>
      </c>
      <c r="V877" s="14" t="e">
        <f ca="1"/>
        <v>#N/A</v>
      </c>
      <c r="W877" s="8" t="e">
        <f ca="1"/>
        <v>#N/A</v>
      </c>
      <c r="X877" s="14" t="e">
        <f ca="1"/>
        <v>#N/A</v>
      </c>
    </row>
    <row r="878" spans="19:24" ht="15.75" customHeight="1" x14ac:dyDescent="0.25">
      <c r="S878" s="14" t="str">
        <f ca="1">IFERROR(__xludf.DUMMYFUNCTION("""COMPUTED_VALUE"""),"")</f>
        <v/>
      </c>
      <c r="T878" s="14" t="e">
        <f ca="1"/>
        <v>#N/A</v>
      </c>
      <c r="U878" s="14" t="e">
        <f ca="1"/>
        <v>#N/A</v>
      </c>
      <c r="V878" s="14" t="e">
        <f ca="1"/>
        <v>#N/A</v>
      </c>
      <c r="W878" s="8" t="e">
        <f ca="1"/>
        <v>#N/A</v>
      </c>
      <c r="X878" s="14" t="e">
        <f ca="1"/>
        <v>#N/A</v>
      </c>
    </row>
    <row r="879" spans="19:24" ht="15.75" customHeight="1" x14ac:dyDescent="0.25">
      <c r="S879" s="14" t="str">
        <f ca="1">IFERROR(__xludf.DUMMYFUNCTION("""COMPUTED_VALUE"""),"")</f>
        <v/>
      </c>
      <c r="T879" s="14" t="e">
        <f ca="1"/>
        <v>#N/A</v>
      </c>
      <c r="U879" s="14" t="e">
        <f ca="1"/>
        <v>#N/A</v>
      </c>
      <c r="V879" s="14" t="e">
        <f ca="1"/>
        <v>#N/A</v>
      </c>
      <c r="W879" s="8" t="e">
        <f ca="1"/>
        <v>#N/A</v>
      </c>
      <c r="X879" s="14" t="e">
        <f ca="1"/>
        <v>#N/A</v>
      </c>
    </row>
    <row r="880" spans="19:24" ht="15.75" customHeight="1" x14ac:dyDescent="0.25">
      <c r="S880" s="14" t="str">
        <f ca="1">IFERROR(__xludf.DUMMYFUNCTION("""COMPUTED_VALUE"""),"")</f>
        <v/>
      </c>
      <c r="T880" s="14" t="e">
        <f ca="1"/>
        <v>#N/A</v>
      </c>
      <c r="U880" s="14" t="e">
        <f ca="1"/>
        <v>#N/A</v>
      </c>
      <c r="V880" s="14" t="e">
        <f ca="1"/>
        <v>#N/A</v>
      </c>
      <c r="W880" s="8" t="e">
        <f ca="1"/>
        <v>#N/A</v>
      </c>
      <c r="X880" s="14" t="e">
        <f ca="1"/>
        <v>#N/A</v>
      </c>
    </row>
    <row r="881" spans="19:24" ht="15.75" customHeight="1" x14ac:dyDescent="0.25">
      <c r="S881" s="14" t="str">
        <f ca="1">IFERROR(__xludf.DUMMYFUNCTION("""COMPUTED_VALUE"""),"")</f>
        <v/>
      </c>
      <c r="T881" s="14" t="e">
        <f ca="1"/>
        <v>#N/A</v>
      </c>
      <c r="U881" s="14" t="e">
        <f ca="1"/>
        <v>#N/A</v>
      </c>
      <c r="V881" s="14" t="e">
        <f ca="1"/>
        <v>#N/A</v>
      </c>
      <c r="W881" s="8" t="e">
        <f ca="1"/>
        <v>#N/A</v>
      </c>
      <c r="X881" s="14" t="e">
        <f ca="1"/>
        <v>#N/A</v>
      </c>
    </row>
    <row r="882" spans="19:24" ht="15.75" customHeight="1" x14ac:dyDescent="0.25">
      <c r="S882" s="14" t="str">
        <f ca="1">IFERROR(__xludf.DUMMYFUNCTION("""COMPUTED_VALUE"""),"")</f>
        <v/>
      </c>
      <c r="T882" s="14" t="e">
        <f ca="1"/>
        <v>#N/A</v>
      </c>
      <c r="U882" s="14" t="e">
        <f ca="1"/>
        <v>#N/A</v>
      </c>
      <c r="V882" s="14" t="e">
        <f ca="1"/>
        <v>#N/A</v>
      </c>
      <c r="W882" s="8" t="e">
        <f ca="1"/>
        <v>#N/A</v>
      </c>
      <c r="X882" s="14" t="e">
        <f ca="1"/>
        <v>#N/A</v>
      </c>
    </row>
    <row r="883" spans="19:24" ht="15.75" customHeight="1" x14ac:dyDescent="0.25">
      <c r="S883" s="14" t="str">
        <f ca="1">IFERROR(__xludf.DUMMYFUNCTION("""COMPUTED_VALUE"""),"")</f>
        <v/>
      </c>
      <c r="T883" s="14" t="e">
        <f ca="1"/>
        <v>#N/A</v>
      </c>
      <c r="U883" s="14" t="e">
        <f ca="1"/>
        <v>#N/A</v>
      </c>
      <c r="V883" s="14" t="e">
        <f ca="1"/>
        <v>#N/A</v>
      </c>
      <c r="W883" s="8" t="e">
        <f ca="1"/>
        <v>#N/A</v>
      </c>
      <c r="X883" s="14" t="e">
        <f ca="1"/>
        <v>#N/A</v>
      </c>
    </row>
    <row r="884" spans="19:24" ht="15.75" customHeight="1" x14ac:dyDescent="0.25">
      <c r="S884" s="14" t="str">
        <f ca="1">IFERROR(__xludf.DUMMYFUNCTION("""COMPUTED_VALUE"""),"")</f>
        <v/>
      </c>
      <c r="T884" s="14" t="e">
        <f ca="1"/>
        <v>#N/A</v>
      </c>
      <c r="U884" s="14" t="e">
        <f ca="1"/>
        <v>#N/A</v>
      </c>
      <c r="V884" s="14" t="e">
        <f ca="1"/>
        <v>#N/A</v>
      </c>
      <c r="W884" s="8" t="e">
        <f ca="1"/>
        <v>#N/A</v>
      </c>
      <c r="X884" s="14" t="e">
        <f ca="1"/>
        <v>#N/A</v>
      </c>
    </row>
    <row r="885" spans="19:24" ht="15.75" customHeight="1" x14ac:dyDescent="0.25">
      <c r="S885" s="14" t="str">
        <f ca="1">IFERROR(__xludf.DUMMYFUNCTION("""COMPUTED_VALUE"""),"")</f>
        <v/>
      </c>
      <c r="T885" s="14" t="e">
        <f ca="1"/>
        <v>#N/A</v>
      </c>
      <c r="U885" s="14" t="e">
        <f ca="1"/>
        <v>#N/A</v>
      </c>
      <c r="V885" s="14" t="e">
        <f ca="1"/>
        <v>#N/A</v>
      </c>
      <c r="W885" s="8" t="e">
        <f ca="1"/>
        <v>#N/A</v>
      </c>
      <c r="X885" s="14" t="e">
        <f ca="1"/>
        <v>#N/A</v>
      </c>
    </row>
    <row r="886" spans="19:24" ht="15.75" customHeight="1" x14ac:dyDescent="0.25">
      <c r="S886" s="14" t="str">
        <f ca="1">IFERROR(__xludf.DUMMYFUNCTION("""COMPUTED_VALUE"""),"")</f>
        <v/>
      </c>
      <c r="T886" s="14" t="e">
        <f ca="1"/>
        <v>#N/A</v>
      </c>
      <c r="U886" s="14" t="e">
        <f ca="1"/>
        <v>#N/A</v>
      </c>
      <c r="V886" s="14" t="e">
        <f ca="1"/>
        <v>#N/A</v>
      </c>
      <c r="W886" s="8" t="e">
        <f ca="1"/>
        <v>#N/A</v>
      </c>
      <c r="X886" s="14" t="e">
        <f ca="1"/>
        <v>#N/A</v>
      </c>
    </row>
    <row r="887" spans="19:24" ht="15.75" customHeight="1" x14ac:dyDescent="0.25">
      <c r="S887" s="14" t="str">
        <f ca="1">IFERROR(__xludf.DUMMYFUNCTION("""COMPUTED_VALUE"""),"")</f>
        <v/>
      </c>
      <c r="T887" s="14" t="e">
        <f ca="1"/>
        <v>#N/A</v>
      </c>
      <c r="U887" s="14" t="e">
        <f ca="1"/>
        <v>#N/A</v>
      </c>
      <c r="V887" s="14" t="e">
        <f ca="1"/>
        <v>#N/A</v>
      </c>
      <c r="W887" s="8" t="e">
        <f ca="1"/>
        <v>#N/A</v>
      </c>
      <c r="X887" s="14" t="e">
        <f ca="1"/>
        <v>#N/A</v>
      </c>
    </row>
    <row r="888" spans="19:24" ht="15.75" customHeight="1" x14ac:dyDescent="0.25">
      <c r="S888" s="14" t="str">
        <f ca="1">IFERROR(__xludf.DUMMYFUNCTION("""COMPUTED_VALUE"""),"")</f>
        <v/>
      </c>
      <c r="T888" s="14" t="e">
        <f ca="1"/>
        <v>#N/A</v>
      </c>
      <c r="U888" s="14" t="e">
        <f ca="1"/>
        <v>#N/A</v>
      </c>
      <c r="V888" s="14" t="e">
        <f ca="1"/>
        <v>#N/A</v>
      </c>
      <c r="W888" s="8" t="e">
        <f ca="1"/>
        <v>#N/A</v>
      </c>
      <c r="X888" s="14" t="e">
        <f ca="1"/>
        <v>#N/A</v>
      </c>
    </row>
    <row r="889" spans="19:24" ht="15.75" customHeight="1" x14ac:dyDescent="0.25">
      <c r="S889" s="14" t="str">
        <f ca="1">IFERROR(__xludf.DUMMYFUNCTION("""COMPUTED_VALUE"""),"")</f>
        <v/>
      </c>
      <c r="T889" s="14" t="e">
        <f ca="1"/>
        <v>#N/A</v>
      </c>
      <c r="U889" s="14" t="e">
        <f ca="1"/>
        <v>#N/A</v>
      </c>
      <c r="V889" s="14" t="e">
        <f ca="1"/>
        <v>#N/A</v>
      </c>
      <c r="W889" s="8" t="e">
        <f ca="1"/>
        <v>#N/A</v>
      </c>
      <c r="X889" s="14" t="e">
        <f ca="1"/>
        <v>#N/A</v>
      </c>
    </row>
    <row r="890" spans="19:24" ht="15.75" customHeight="1" x14ac:dyDescent="0.25">
      <c r="S890" s="14" t="str">
        <f ca="1">IFERROR(__xludf.DUMMYFUNCTION("""COMPUTED_VALUE"""),"")</f>
        <v/>
      </c>
      <c r="T890" s="14" t="e">
        <f ca="1"/>
        <v>#N/A</v>
      </c>
      <c r="U890" s="14" t="e">
        <f ca="1"/>
        <v>#N/A</v>
      </c>
      <c r="V890" s="14" t="e">
        <f ca="1"/>
        <v>#N/A</v>
      </c>
      <c r="W890" s="8" t="e">
        <f ca="1"/>
        <v>#N/A</v>
      </c>
      <c r="X890" s="14" t="e">
        <f ca="1"/>
        <v>#N/A</v>
      </c>
    </row>
    <row r="891" spans="19:24" ht="15.75" customHeight="1" x14ac:dyDescent="0.25">
      <c r="S891" s="14" t="str">
        <f ca="1">IFERROR(__xludf.DUMMYFUNCTION("""COMPUTED_VALUE"""),"")</f>
        <v/>
      </c>
      <c r="T891" s="14" t="e">
        <f ca="1"/>
        <v>#N/A</v>
      </c>
      <c r="U891" s="14" t="e">
        <f ca="1"/>
        <v>#N/A</v>
      </c>
      <c r="V891" s="14" t="e">
        <f ca="1"/>
        <v>#N/A</v>
      </c>
      <c r="W891" s="8" t="e">
        <f ca="1"/>
        <v>#N/A</v>
      </c>
      <c r="X891" s="14" t="e">
        <f ca="1"/>
        <v>#N/A</v>
      </c>
    </row>
    <row r="892" spans="19:24" ht="15.75" customHeight="1" x14ac:dyDescent="0.25">
      <c r="S892" s="14" t="str">
        <f ca="1">IFERROR(__xludf.DUMMYFUNCTION("""COMPUTED_VALUE"""),"")</f>
        <v/>
      </c>
      <c r="T892" s="14" t="e">
        <f ca="1"/>
        <v>#N/A</v>
      </c>
      <c r="U892" s="14" t="e">
        <f ca="1"/>
        <v>#N/A</v>
      </c>
      <c r="V892" s="14" t="e">
        <f ca="1"/>
        <v>#N/A</v>
      </c>
      <c r="W892" s="8" t="e">
        <f ca="1"/>
        <v>#N/A</v>
      </c>
      <c r="X892" s="14" t="e">
        <f ca="1"/>
        <v>#N/A</v>
      </c>
    </row>
    <row r="893" spans="19:24" ht="15.75" customHeight="1" x14ac:dyDescent="0.25">
      <c r="S893" s="14" t="str">
        <f ca="1">IFERROR(__xludf.DUMMYFUNCTION("""COMPUTED_VALUE"""),"")</f>
        <v/>
      </c>
      <c r="T893" s="14" t="e">
        <f ca="1"/>
        <v>#N/A</v>
      </c>
      <c r="U893" s="14" t="e">
        <f ca="1"/>
        <v>#N/A</v>
      </c>
      <c r="V893" s="14" t="e">
        <f ca="1"/>
        <v>#N/A</v>
      </c>
      <c r="W893" s="8" t="e">
        <f ca="1"/>
        <v>#N/A</v>
      </c>
      <c r="X893" s="14" t="e">
        <f ca="1"/>
        <v>#N/A</v>
      </c>
    </row>
    <row r="894" spans="19:24" ht="15.75" customHeight="1" x14ac:dyDescent="0.25">
      <c r="S894" s="14" t="str">
        <f ca="1">IFERROR(__xludf.DUMMYFUNCTION("""COMPUTED_VALUE"""),"")</f>
        <v/>
      </c>
      <c r="T894" s="14" t="e">
        <f ca="1"/>
        <v>#N/A</v>
      </c>
      <c r="U894" s="14" t="e">
        <f ca="1"/>
        <v>#N/A</v>
      </c>
      <c r="V894" s="14" t="e">
        <f ca="1"/>
        <v>#N/A</v>
      </c>
      <c r="W894" s="8" t="e">
        <f ca="1"/>
        <v>#N/A</v>
      </c>
      <c r="X894" s="14" t="e">
        <f ca="1"/>
        <v>#N/A</v>
      </c>
    </row>
    <row r="895" spans="19:24" ht="15.75" customHeight="1" x14ac:dyDescent="0.25">
      <c r="S895" s="14" t="str">
        <f ca="1">IFERROR(__xludf.DUMMYFUNCTION("""COMPUTED_VALUE"""),"")</f>
        <v/>
      </c>
      <c r="T895" s="14" t="e">
        <f ca="1"/>
        <v>#N/A</v>
      </c>
      <c r="U895" s="14" t="e">
        <f ca="1"/>
        <v>#N/A</v>
      </c>
      <c r="V895" s="14" t="e">
        <f ca="1"/>
        <v>#N/A</v>
      </c>
      <c r="W895" s="8" t="e">
        <f ca="1"/>
        <v>#N/A</v>
      </c>
      <c r="X895" s="14" t="e">
        <f ca="1"/>
        <v>#N/A</v>
      </c>
    </row>
    <row r="896" spans="19:24" ht="15.75" customHeight="1" x14ac:dyDescent="0.25">
      <c r="S896" s="14" t="str">
        <f ca="1">IFERROR(__xludf.DUMMYFUNCTION("""COMPUTED_VALUE"""),"")</f>
        <v/>
      </c>
      <c r="T896" s="14" t="e">
        <f ca="1"/>
        <v>#N/A</v>
      </c>
      <c r="U896" s="14" t="e">
        <f ca="1"/>
        <v>#N/A</v>
      </c>
      <c r="V896" s="14" t="e">
        <f ca="1"/>
        <v>#N/A</v>
      </c>
      <c r="W896" s="8" t="e">
        <f ca="1"/>
        <v>#N/A</v>
      </c>
      <c r="X896" s="14" t="e">
        <f ca="1"/>
        <v>#N/A</v>
      </c>
    </row>
    <row r="897" spans="19:24" ht="15.75" customHeight="1" x14ac:dyDescent="0.25">
      <c r="S897" s="14" t="str">
        <f ca="1">IFERROR(__xludf.DUMMYFUNCTION("""COMPUTED_VALUE"""),"")</f>
        <v/>
      </c>
      <c r="T897" s="14" t="e">
        <f ca="1"/>
        <v>#N/A</v>
      </c>
      <c r="U897" s="14" t="e">
        <f ca="1"/>
        <v>#N/A</v>
      </c>
      <c r="V897" s="14" t="e">
        <f ca="1"/>
        <v>#N/A</v>
      </c>
      <c r="W897" s="8" t="e">
        <f ca="1"/>
        <v>#N/A</v>
      </c>
      <c r="X897" s="14" t="e">
        <f ca="1"/>
        <v>#N/A</v>
      </c>
    </row>
    <row r="898" spans="19:24" ht="15.75" customHeight="1" x14ac:dyDescent="0.25">
      <c r="S898" s="14" t="str">
        <f ca="1">IFERROR(__xludf.DUMMYFUNCTION("""COMPUTED_VALUE"""),"")</f>
        <v/>
      </c>
      <c r="T898" s="14" t="e">
        <f ca="1"/>
        <v>#N/A</v>
      </c>
      <c r="U898" s="14" t="e">
        <f ca="1"/>
        <v>#N/A</v>
      </c>
      <c r="V898" s="14" t="e">
        <f ca="1"/>
        <v>#N/A</v>
      </c>
      <c r="W898" s="8" t="e">
        <f ca="1"/>
        <v>#N/A</v>
      </c>
      <c r="X898" s="14" t="e">
        <f ca="1"/>
        <v>#N/A</v>
      </c>
    </row>
    <row r="899" spans="19:24" ht="15.75" customHeight="1" x14ac:dyDescent="0.25">
      <c r="S899" s="14" t="str">
        <f ca="1">IFERROR(__xludf.DUMMYFUNCTION("""COMPUTED_VALUE"""),"")</f>
        <v/>
      </c>
      <c r="T899" s="14" t="e">
        <f ca="1"/>
        <v>#N/A</v>
      </c>
      <c r="U899" s="14" t="e">
        <f ca="1"/>
        <v>#N/A</v>
      </c>
      <c r="V899" s="14" t="e">
        <f ca="1"/>
        <v>#N/A</v>
      </c>
      <c r="W899" s="8" t="e">
        <f ca="1"/>
        <v>#N/A</v>
      </c>
      <c r="X899" s="14" t="e">
        <f ca="1"/>
        <v>#N/A</v>
      </c>
    </row>
    <row r="900" spans="19:24" ht="15.75" customHeight="1" x14ac:dyDescent="0.25">
      <c r="S900" s="14" t="str">
        <f ca="1">IFERROR(__xludf.DUMMYFUNCTION("""COMPUTED_VALUE"""),"")</f>
        <v/>
      </c>
      <c r="T900" s="14" t="e">
        <f ca="1"/>
        <v>#N/A</v>
      </c>
      <c r="U900" s="14" t="e">
        <f ca="1"/>
        <v>#N/A</v>
      </c>
      <c r="V900" s="14" t="e">
        <f ca="1"/>
        <v>#N/A</v>
      </c>
      <c r="W900" s="8" t="e">
        <f ca="1"/>
        <v>#N/A</v>
      </c>
      <c r="X900" s="14" t="e">
        <f ca="1"/>
        <v>#N/A</v>
      </c>
    </row>
    <row r="901" spans="19:24" ht="15.75" customHeight="1" x14ac:dyDescent="0.25">
      <c r="S901" s="14" t="str">
        <f ca="1">IFERROR(__xludf.DUMMYFUNCTION("""COMPUTED_VALUE"""),"")</f>
        <v/>
      </c>
      <c r="T901" s="14" t="e">
        <f ca="1"/>
        <v>#N/A</v>
      </c>
      <c r="U901" s="14" t="e">
        <f ca="1"/>
        <v>#N/A</v>
      </c>
      <c r="V901" s="14" t="e">
        <f ca="1"/>
        <v>#N/A</v>
      </c>
      <c r="W901" s="8" t="e">
        <f ca="1"/>
        <v>#N/A</v>
      </c>
      <c r="X901" s="14" t="e">
        <f ca="1"/>
        <v>#N/A</v>
      </c>
    </row>
    <row r="902" spans="19:24" ht="15.75" customHeight="1" x14ac:dyDescent="0.25">
      <c r="S902" s="14" t="str">
        <f ca="1">IFERROR(__xludf.DUMMYFUNCTION("""COMPUTED_VALUE"""),"")</f>
        <v/>
      </c>
      <c r="T902" s="14" t="e">
        <f ca="1"/>
        <v>#N/A</v>
      </c>
      <c r="U902" s="14" t="e">
        <f ca="1"/>
        <v>#N/A</v>
      </c>
      <c r="V902" s="14" t="e">
        <f ca="1"/>
        <v>#N/A</v>
      </c>
      <c r="W902" s="8" t="e">
        <f ca="1"/>
        <v>#N/A</v>
      </c>
      <c r="X902" s="14" t="e">
        <f ca="1"/>
        <v>#N/A</v>
      </c>
    </row>
    <row r="903" spans="19:24" ht="15.75" customHeight="1" x14ac:dyDescent="0.25">
      <c r="S903" s="14" t="str">
        <f ca="1">IFERROR(__xludf.DUMMYFUNCTION("""COMPUTED_VALUE"""),"")</f>
        <v/>
      </c>
      <c r="T903" s="14" t="e">
        <f ca="1"/>
        <v>#N/A</v>
      </c>
      <c r="U903" s="14" t="e">
        <f ca="1"/>
        <v>#N/A</v>
      </c>
      <c r="V903" s="14" t="e">
        <f ca="1"/>
        <v>#N/A</v>
      </c>
      <c r="W903" s="8" t="e">
        <f ca="1"/>
        <v>#N/A</v>
      </c>
      <c r="X903" s="14" t="e">
        <f ca="1"/>
        <v>#N/A</v>
      </c>
    </row>
    <row r="904" spans="19:24" ht="15.75" customHeight="1" x14ac:dyDescent="0.25">
      <c r="S904" s="14" t="str">
        <f ca="1">IFERROR(__xludf.DUMMYFUNCTION("""COMPUTED_VALUE"""),"")</f>
        <v/>
      </c>
      <c r="T904" s="14" t="e">
        <f ca="1"/>
        <v>#N/A</v>
      </c>
      <c r="U904" s="14" t="e">
        <f ca="1"/>
        <v>#N/A</v>
      </c>
      <c r="V904" s="14" t="e">
        <f ca="1"/>
        <v>#N/A</v>
      </c>
      <c r="W904" s="8" t="e">
        <f ca="1"/>
        <v>#N/A</v>
      </c>
      <c r="X904" s="14" t="e">
        <f ca="1"/>
        <v>#N/A</v>
      </c>
    </row>
    <row r="905" spans="19:24" ht="15.75" customHeight="1" x14ac:dyDescent="0.25">
      <c r="S905" s="14" t="str">
        <f ca="1">IFERROR(__xludf.DUMMYFUNCTION("""COMPUTED_VALUE"""),"")</f>
        <v/>
      </c>
      <c r="T905" s="14" t="e">
        <f ca="1"/>
        <v>#N/A</v>
      </c>
      <c r="U905" s="14" t="e">
        <f ca="1"/>
        <v>#N/A</v>
      </c>
      <c r="V905" s="14" t="e">
        <f ca="1"/>
        <v>#N/A</v>
      </c>
      <c r="W905" s="8" t="e">
        <f ca="1"/>
        <v>#N/A</v>
      </c>
      <c r="X905" s="14" t="e">
        <f ca="1"/>
        <v>#N/A</v>
      </c>
    </row>
    <row r="906" spans="19:24" ht="15.75" customHeight="1" x14ac:dyDescent="0.25">
      <c r="S906" s="14" t="str">
        <f ca="1">IFERROR(__xludf.DUMMYFUNCTION("""COMPUTED_VALUE"""),"")</f>
        <v/>
      </c>
      <c r="T906" s="14" t="e">
        <f ca="1"/>
        <v>#N/A</v>
      </c>
      <c r="U906" s="14" t="e">
        <f ca="1"/>
        <v>#N/A</v>
      </c>
      <c r="V906" s="14" t="e">
        <f ca="1"/>
        <v>#N/A</v>
      </c>
      <c r="W906" s="8" t="e">
        <f ca="1"/>
        <v>#N/A</v>
      </c>
      <c r="X906" s="14" t="e">
        <f ca="1"/>
        <v>#N/A</v>
      </c>
    </row>
    <row r="907" spans="19:24" ht="15.75" customHeight="1" x14ac:dyDescent="0.25">
      <c r="S907" s="14" t="str">
        <f ca="1">IFERROR(__xludf.DUMMYFUNCTION("""COMPUTED_VALUE"""),"")</f>
        <v/>
      </c>
      <c r="T907" s="14" t="e">
        <f ca="1"/>
        <v>#N/A</v>
      </c>
      <c r="U907" s="14" t="e">
        <f ca="1"/>
        <v>#N/A</v>
      </c>
      <c r="V907" s="14" t="e">
        <f ca="1"/>
        <v>#N/A</v>
      </c>
      <c r="W907" s="8" t="e">
        <f ca="1"/>
        <v>#N/A</v>
      </c>
      <c r="X907" s="14" t="e">
        <f ca="1"/>
        <v>#N/A</v>
      </c>
    </row>
    <row r="908" spans="19:24" ht="15.75" customHeight="1" x14ac:dyDescent="0.25">
      <c r="S908" s="14" t="str">
        <f ca="1">IFERROR(__xludf.DUMMYFUNCTION("""COMPUTED_VALUE"""),"")</f>
        <v/>
      </c>
      <c r="T908" s="14" t="e">
        <f ca="1"/>
        <v>#N/A</v>
      </c>
      <c r="U908" s="14" t="e">
        <f ca="1"/>
        <v>#N/A</v>
      </c>
      <c r="V908" s="14" t="e">
        <f ca="1"/>
        <v>#N/A</v>
      </c>
      <c r="W908" s="8" t="e">
        <f ca="1"/>
        <v>#N/A</v>
      </c>
      <c r="X908" s="14" t="e">
        <f ca="1"/>
        <v>#N/A</v>
      </c>
    </row>
    <row r="909" spans="19:24" ht="15.75" customHeight="1" x14ac:dyDescent="0.25">
      <c r="S909" s="14" t="str">
        <f ca="1">IFERROR(__xludf.DUMMYFUNCTION("""COMPUTED_VALUE"""),"")</f>
        <v/>
      </c>
      <c r="T909" s="14" t="e">
        <f ca="1"/>
        <v>#N/A</v>
      </c>
      <c r="U909" s="14" t="e">
        <f ca="1"/>
        <v>#N/A</v>
      </c>
      <c r="V909" s="14" t="e">
        <f ca="1"/>
        <v>#N/A</v>
      </c>
      <c r="W909" s="8" t="e">
        <f ca="1"/>
        <v>#N/A</v>
      </c>
      <c r="X909" s="14" t="e">
        <f ca="1"/>
        <v>#N/A</v>
      </c>
    </row>
    <row r="910" spans="19:24" ht="15.75" customHeight="1" x14ac:dyDescent="0.25">
      <c r="S910" s="14" t="str">
        <f ca="1">IFERROR(__xludf.DUMMYFUNCTION("""COMPUTED_VALUE"""),"")</f>
        <v/>
      </c>
      <c r="T910" s="14" t="e">
        <f ca="1"/>
        <v>#N/A</v>
      </c>
      <c r="U910" s="14" t="e">
        <f ca="1"/>
        <v>#N/A</v>
      </c>
      <c r="V910" s="14" t="e">
        <f ca="1"/>
        <v>#N/A</v>
      </c>
      <c r="W910" s="8" t="e">
        <f ca="1"/>
        <v>#N/A</v>
      </c>
      <c r="X910" s="14" t="e">
        <f ca="1"/>
        <v>#N/A</v>
      </c>
    </row>
    <row r="911" spans="19:24" ht="15.75" customHeight="1" x14ac:dyDescent="0.25">
      <c r="S911" s="14" t="str">
        <f ca="1">IFERROR(__xludf.DUMMYFUNCTION("""COMPUTED_VALUE"""),"")</f>
        <v/>
      </c>
      <c r="T911" s="14" t="e">
        <f ca="1"/>
        <v>#N/A</v>
      </c>
      <c r="U911" s="14" t="e">
        <f ca="1"/>
        <v>#N/A</v>
      </c>
      <c r="V911" s="14" t="e">
        <f ca="1"/>
        <v>#N/A</v>
      </c>
      <c r="W911" s="8" t="e">
        <f ca="1"/>
        <v>#N/A</v>
      </c>
      <c r="X911" s="14" t="e">
        <f ca="1"/>
        <v>#N/A</v>
      </c>
    </row>
    <row r="912" spans="19:24" ht="15.75" customHeight="1" x14ac:dyDescent="0.25">
      <c r="S912" s="14" t="str">
        <f ca="1">IFERROR(__xludf.DUMMYFUNCTION("""COMPUTED_VALUE"""),"")</f>
        <v/>
      </c>
      <c r="T912" s="14" t="e">
        <f ca="1"/>
        <v>#N/A</v>
      </c>
      <c r="U912" s="14" t="e">
        <f ca="1"/>
        <v>#N/A</v>
      </c>
      <c r="V912" s="14" t="e">
        <f ca="1"/>
        <v>#N/A</v>
      </c>
      <c r="W912" s="8" t="e">
        <f ca="1"/>
        <v>#N/A</v>
      </c>
      <c r="X912" s="14" t="e">
        <f ca="1"/>
        <v>#N/A</v>
      </c>
    </row>
    <row r="913" spans="19:24" ht="15.75" customHeight="1" x14ac:dyDescent="0.25">
      <c r="S913" s="14" t="str">
        <f ca="1">IFERROR(__xludf.DUMMYFUNCTION("""COMPUTED_VALUE"""),"")</f>
        <v/>
      </c>
      <c r="T913" s="14" t="e">
        <f ca="1"/>
        <v>#N/A</v>
      </c>
      <c r="U913" s="14" t="e">
        <f ca="1"/>
        <v>#N/A</v>
      </c>
      <c r="V913" s="14" t="e">
        <f ca="1"/>
        <v>#N/A</v>
      </c>
      <c r="W913" s="8" t="e">
        <f ca="1"/>
        <v>#N/A</v>
      </c>
      <c r="X913" s="14" t="e">
        <f ca="1"/>
        <v>#N/A</v>
      </c>
    </row>
    <row r="914" spans="19:24" ht="15.75" customHeight="1" x14ac:dyDescent="0.25">
      <c r="S914" s="14" t="str">
        <f ca="1">IFERROR(__xludf.DUMMYFUNCTION("""COMPUTED_VALUE"""),"")</f>
        <v/>
      </c>
      <c r="T914" s="14" t="e">
        <f ca="1"/>
        <v>#N/A</v>
      </c>
      <c r="U914" s="14" t="e">
        <f ca="1"/>
        <v>#N/A</v>
      </c>
      <c r="V914" s="14" t="e">
        <f ca="1"/>
        <v>#N/A</v>
      </c>
      <c r="W914" s="8" t="e">
        <f ca="1"/>
        <v>#N/A</v>
      </c>
      <c r="X914" s="14" t="e">
        <f ca="1"/>
        <v>#N/A</v>
      </c>
    </row>
    <row r="915" spans="19:24" ht="15.75" customHeight="1" x14ac:dyDescent="0.25">
      <c r="S915" s="14" t="str">
        <f ca="1">IFERROR(__xludf.DUMMYFUNCTION("""COMPUTED_VALUE"""),"")</f>
        <v/>
      </c>
      <c r="T915" s="14" t="e">
        <f ca="1"/>
        <v>#N/A</v>
      </c>
      <c r="U915" s="14" t="e">
        <f ca="1"/>
        <v>#N/A</v>
      </c>
      <c r="V915" s="14" t="e">
        <f ca="1"/>
        <v>#N/A</v>
      </c>
      <c r="W915" s="8" t="e">
        <f ca="1"/>
        <v>#N/A</v>
      </c>
      <c r="X915" s="14" t="e">
        <f ca="1"/>
        <v>#N/A</v>
      </c>
    </row>
    <row r="916" spans="19:24" ht="15.75" customHeight="1" x14ac:dyDescent="0.25">
      <c r="S916" s="14" t="str">
        <f ca="1">IFERROR(__xludf.DUMMYFUNCTION("""COMPUTED_VALUE"""),"")</f>
        <v/>
      </c>
      <c r="T916" s="14" t="e">
        <f ca="1"/>
        <v>#N/A</v>
      </c>
      <c r="U916" s="14" t="e">
        <f ca="1"/>
        <v>#N/A</v>
      </c>
      <c r="V916" s="14" t="e">
        <f ca="1"/>
        <v>#N/A</v>
      </c>
      <c r="W916" s="8" t="e">
        <f ca="1"/>
        <v>#N/A</v>
      </c>
      <c r="X916" s="14" t="e">
        <f ca="1"/>
        <v>#N/A</v>
      </c>
    </row>
    <row r="917" spans="19:24" ht="15.75" customHeight="1" x14ac:dyDescent="0.25">
      <c r="S917" s="14" t="str">
        <f ca="1">IFERROR(__xludf.DUMMYFUNCTION("""COMPUTED_VALUE"""),"")</f>
        <v/>
      </c>
      <c r="T917" s="14" t="e">
        <f ca="1"/>
        <v>#N/A</v>
      </c>
      <c r="U917" s="14" t="e">
        <f ca="1"/>
        <v>#N/A</v>
      </c>
      <c r="V917" s="14" t="e">
        <f ca="1"/>
        <v>#N/A</v>
      </c>
      <c r="W917" s="8" t="e">
        <f ca="1"/>
        <v>#N/A</v>
      </c>
      <c r="X917" s="14" t="e">
        <f ca="1"/>
        <v>#N/A</v>
      </c>
    </row>
    <row r="918" spans="19:24" ht="15.75" customHeight="1" x14ac:dyDescent="0.25">
      <c r="S918" s="14" t="str">
        <f ca="1">IFERROR(__xludf.DUMMYFUNCTION("""COMPUTED_VALUE"""),"")</f>
        <v/>
      </c>
      <c r="T918" s="14" t="e">
        <f ca="1"/>
        <v>#N/A</v>
      </c>
      <c r="U918" s="14" t="e">
        <f ca="1"/>
        <v>#N/A</v>
      </c>
      <c r="V918" s="14" t="e">
        <f ca="1"/>
        <v>#N/A</v>
      </c>
      <c r="W918" s="8" t="e">
        <f ca="1"/>
        <v>#N/A</v>
      </c>
      <c r="X918" s="14" t="e">
        <f ca="1"/>
        <v>#N/A</v>
      </c>
    </row>
    <row r="919" spans="19:24" ht="15.75" customHeight="1" x14ac:dyDescent="0.25">
      <c r="S919" s="14" t="str">
        <f ca="1">IFERROR(__xludf.DUMMYFUNCTION("""COMPUTED_VALUE"""),"")</f>
        <v/>
      </c>
      <c r="T919" s="14" t="e">
        <f ca="1"/>
        <v>#N/A</v>
      </c>
      <c r="U919" s="14" t="e">
        <f ca="1"/>
        <v>#N/A</v>
      </c>
      <c r="V919" s="14" t="e">
        <f ca="1"/>
        <v>#N/A</v>
      </c>
      <c r="W919" s="8" t="e">
        <f ca="1"/>
        <v>#N/A</v>
      </c>
      <c r="X919" s="14" t="e">
        <f ca="1"/>
        <v>#N/A</v>
      </c>
    </row>
    <row r="920" spans="19:24" ht="15.75" customHeight="1" x14ac:dyDescent="0.25">
      <c r="S920" s="14" t="str">
        <f ca="1">IFERROR(__xludf.DUMMYFUNCTION("""COMPUTED_VALUE"""),"")</f>
        <v/>
      </c>
      <c r="T920" s="14" t="e">
        <f ca="1"/>
        <v>#N/A</v>
      </c>
      <c r="U920" s="14" t="e">
        <f ca="1"/>
        <v>#N/A</v>
      </c>
      <c r="V920" s="14" t="e">
        <f ca="1"/>
        <v>#N/A</v>
      </c>
      <c r="W920" s="8" t="e">
        <f ca="1"/>
        <v>#N/A</v>
      </c>
      <c r="X920" s="14" t="e">
        <f ca="1"/>
        <v>#N/A</v>
      </c>
    </row>
    <row r="921" spans="19:24" ht="15.75" customHeight="1" x14ac:dyDescent="0.25">
      <c r="S921" s="14" t="str">
        <f ca="1">IFERROR(__xludf.DUMMYFUNCTION("""COMPUTED_VALUE"""),"")</f>
        <v/>
      </c>
      <c r="T921" s="14" t="e">
        <f ca="1"/>
        <v>#N/A</v>
      </c>
      <c r="U921" s="14" t="e">
        <f ca="1"/>
        <v>#N/A</v>
      </c>
      <c r="V921" s="14" t="e">
        <f ca="1"/>
        <v>#N/A</v>
      </c>
      <c r="W921" s="8" t="e">
        <f ca="1"/>
        <v>#N/A</v>
      </c>
      <c r="X921" s="14" t="e">
        <f ca="1"/>
        <v>#N/A</v>
      </c>
    </row>
    <row r="922" spans="19:24" ht="15.75" customHeight="1" x14ac:dyDescent="0.25">
      <c r="S922" s="14" t="str">
        <f ca="1">IFERROR(__xludf.DUMMYFUNCTION("""COMPUTED_VALUE"""),"")</f>
        <v/>
      </c>
      <c r="T922" s="14" t="e">
        <f ca="1"/>
        <v>#N/A</v>
      </c>
      <c r="U922" s="14" t="e">
        <f ca="1"/>
        <v>#N/A</v>
      </c>
      <c r="V922" s="14" t="e">
        <f ca="1"/>
        <v>#N/A</v>
      </c>
      <c r="W922" s="8" t="e">
        <f ca="1"/>
        <v>#N/A</v>
      </c>
      <c r="X922" s="14" t="e">
        <f ca="1"/>
        <v>#N/A</v>
      </c>
    </row>
    <row r="923" spans="19:24" ht="15.75" customHeight="1" x14ac:dyDescent="0.25">
      <c r="S923" s="14" t="str">
        <f ca="1">IFERROR(__xludf.DUMMYFUNCTION("""COMPUTED_VALUE"""),"")</f>
        <v/>
      </c>
      <c r="T923" s="14" t="e">
        <f ca="1"/>
        <v>#N/A</v>
      </c>
      <c r="U923" s="14" t="e">
        <f ca="1"/>
        <v>#N/A</v>
      </c>
      <c r="V923" s="14" t="e">
        <f ca="1"/>
        <v>#N/A</v>
      </c>
      <c r="W923" s="8" t="e">
        <f ca="1"/>
        <v>#N/A</v>
      </c>
      <c r="X923" s="14" t="e">
        <f ca="1"/>
        <v>#N/A</v>
      </c>
    </row>
    <row r="924" spans="19:24" ht="15.75" customHeight="1" x14ac:dyDescent="0.25">
      <c r="S924" s="14" t="str">
        <f ca="1">IFERROR(__xludf.DUMMYFUNCTION("""COMPUTED_VALUE"""),"")</f>
        <v/>
      </c>
      <c r="T924" s="14" t="e">
        <f ca="1"/>
        <v>#N/A</v>
      </c>
      <c r="U924" s="14" t="e">
        <f ca="1"/>
        <v>#N/A</v>
      </c>
      <c r="V924" s="14" t="e">
        <f ca="1"/>
        <v>#N/A</v>
      </c>
      <c r="W924" s="8" t="e">
        <f ca="1"/>
        <v>#N/A</v>
      </c>
      <c r="X924" s="14" t="e">
        <f ca="1"/>
        <v>#N/A</v>
      </c>
    </row>
    <row r="925" spans="19:24" ht="15.75" customHeight="1" x14ac:dyDescent="0.25">
      <c r="S925" s="14" t="str">
        <f ca="1">IFERROR(__xludf.DUMMYFUNCTION("""COMPUTED_VALUE"""),"")</f>
        <v/>
      </c>
      <c r="T925" s="14" t="e">
        <f ca="1"/>
        <v>#N/A</v>
      </c>
      <c r="U925" s="14" t="e">
        <f ca="1"/>
        <v>#N/A</v>
      </c>
      <c r="V925" s="14" t="e">
        <f ca="1"/>
        <v>#N/A</v>
      </c>
      <c r="W925" s="8" t="e">
        <f ca="1"/>
        <v>#N/A</v>
      </c>
      <c r="X925" s="14" t="e">
        <f ca="1"/>
        <v>#N/A</v>
      </c>
    </row>
    <row r="926" spans="19:24" ht="15.75" customHeight="1" x14ac:dyDescent="0.25">
      <c r="S926" s="14" t="str">
        <f ca="1">IFERROR(__xludf.DUMMYFUNCTION("""COMPUTED_VALUE"""),"")</f>
        <v/>
      </c>
      <c r="T926" s="14" t="e">
        <f ca="1"/>
        <v>#N/A</v>
      </c>
      <c r="U926" s="14" t="e">
        <f ca="1"/>
        <v>#N/A</v>
      </c>
      <c r="V926" s="14" t="e">
        <f ca="1"/>
        <v>#N/A</v>
      </c>
      <c r="W926" s="8" t="e">
        <f ca="1"/>
        <v>#N/A</v>
      </c>
      <c r="X926" s="14" t="e">
        <f ca="1"/>
        <v>#N/A</v>
      </c>
    </row>
    <row r="927" spans="19:24" ht="15.75" customHeight="1" x14ac:dyDescent="0.25">
      <c r="S927" s="14" t="str">
        <f ca="1">IFERROR(__xludf.DUMMYFUNCTION("""COMPUTED_VALUE"""),"")</f>
        <v/>
      </c>
      <c r="T927" s="14" t="e">
        <f ca="1"/>
        <v>#N/A</v>
      </c>
      <c r="U927" s="14" t="e">
        <f ca="1"/>
        <v>#N/A</v>
      </c>
      <c r="V927" s="14" t="e">
        <f ca="1"/>
        <v>#N/A</v>
      </c>
      <c r="W927" s="8" t="e">
        <f ca="1"/>
        <v>#N/A</v>
      </c>
      <c r="X927" s="14" t="e">
        <f ca="1"/>
        <v>#N/A</v>
      </c>
    </row>
    <row r="928" spans="19:24" ht="15.75" customHeight="1" x14ac:dyDescent="0.25">
      <c r="S928" s="14" t="str">
        <f ca="1">IFERROR(__xludf.DUMMYFUNCTION("""COMPUTED_VALUE"""),"")</f>
        <v/>
      </c>
      <c r="T928" s="14" t="e">
        <f ca="1"/>
        <v>#N/A</v>
      </c>
      <c r="U928" s="14" t="e">
        <f ca="1"/>
        <v>#N/A</v>
      </c>
      <c r="V928" s="14" t="e">
        <f ca="1"/>
        <v>#N/A</v>
      </c>
      <c r="W928" s="8" t="e">
        <f ca="1"/>
        <v>#N/A</v>
      </c>
      <c r="X928" s="14" t="e">
        <f ca="1"/>
        <v>#N/A</v>
      </c>
    </row>
    <row r="929" spans="19:24" ht="15.75" customHeight="1" x14ac:dyDescent="0.25">
      <c r="S929" s="14" t="str">
        <f ca="1">IFERROR(__xludf.DUMMYFUNCTION("""COMPUTED_VALUE"""),"")</f>
        <v/>
      </c>
      <c r="T929" s="14" t="e">
        <f ca="1"/>
        <v>#N/A</v>
      </c>
      <c r="U929" s="14" t="e">
        <f ca="1"/>
        <v>#N/A</v>
      </c>
      <c r="V929" s="14" t="e">
        <f ca="1"/>
        <v>#N/A</v>
      </c>
      <c r="W929" s="8" t="e">
        <f ca="1"/>
        <v>#N/A</v>
      </c>
      <c r="X929" s="14" t="e">
        <f ca="1"/>
        <v>#N/A</v>
      </c>
    </row>
    <row r="930" spans="19:24" ht="15.75" customHeight="1" x14ac:dyDescent="0.25">
      <c r="S930" s="14" t="str">
        <f ca="1">IFERROR(__xludf.DUMMYFUNCTION("""COMPUTED_VALUE"""),"")</f>
        <v/>
      </c>
      <c r="T930" s="14" t="e">
        <f ca="1"/>
        <v>#N/A</v>
      </c>
      <c r="U930" s="14" t="e">
        <f ca="1"/>
        <v>#N/A</v>
      </c>
      <c r="V930" s="14" t="e">
        <f ca="1"/>
        <v>#N/A</v>
      </c>
      <c r="W930" s="8" t="e">
        <f ca="1"/>
        <v>#N/A</v>
      </c>
      <c r="X930" s="14" t="e">
        <f ca="1"/>
        <v>#N/A</v>
      </c>
    </row>
    <row r="931" spans="19:24" ht="15.75" customHeight="1" x14ac:dyDescent="0.25">
      <c r="S931" s="14" t="str">
        <f ca="1">IFERROR(__xludf.DUMMYFUNCTION("""COMPUTED_VALUE"""),"")</f>
        <v/>
      </c>
      <c r="T931" s="14" t="e">
        <f ca="1"/>
        <v>#N/A</v>
      </c>
      <c r="U931" s="14" t="e">
        <f ca="1"/>
        <v>#N/A</v>
      </c>
      <c r="V931" s="14" t="e">
        <f ca="1"/>
        <v>#N/A</v>
      </c>
      <c r="W931" s="8" t="e">
        <f ca="1"/>
        <v>#N/A</v>
      </c>
      <c r="X931" s="14" t="e">
        <f ca="1"/>
        <v>#N/A</v>
      </c>
    </row>
    <row r="932" spans="19:24" ht="15.75" customHeight="1" x14ac:dyDescent="0.25">
      <c r="S932" s="14" t="str">
        <f ca="1">IFERROR(__xludf.DUMMYFUNCTION("""COMPUTED_VALUE"""),"")</f>
        <v/>
      </c>
      <c r="T932" s="14" t="e">
        <f ca="1"/>
        <v>#N/A</v>
      </c>
      <c r="U932" s="14" t="e">
        <f ca="1"/>
        <v>#N/A</v>
      </c>
      <c r="V932" s="14" t="e">
        <f ca="1"/>
        <v>#N/A</v>
      </c>
      <c r="W932" s="8" t="e">
        <f ca="1"/>
        <v>#N/A</v>
      </c>
      <c r="X932" s="14" t="e">
        <f ca="1"/>
        <v>#N/A</v>
      </c>
    </row>
    <row r="933" spans="19:24" ht="15.75" customHeight="1" x14ac:dyDescent="0.25">
      <c r="S933" s="14" t="str">
        <f ca="1">IFERROR(__xludf.DUMMYFUNCTION("""COMPUTED_VALUE"""),"")</f>
        <v/>
      </c>
      <c r="T933" s="14" t="e">
        <f ca="1"/>
        <v>#N/A</v>
      </c>
      <c r="U933" s="14" t="e">
        <f ca="1"/>
        <v>#N/A</v>
      </c>
      <c r="V933" s="14" t="e">
        <f ca="1"/>
        <v>#N/A</v>
      </c>
      <c r="W933" s="8" t="e">
        <f ca="1"/>
        <v>#N/A</v>
      </c>
      <c r="X933" s="14" t="e">
        <f ca="1"/>
        <v>#N/A</v>
      </c>
    </row>
    <row r="934" spans="19:24" ht="15.75" customHeight="1" x14ac:dyDescent="0.25">
      <c r="S934" s="14" t="str">
        <f ca="1">IFERROR(__xludf.DUMMYFUNCTION("""COMPUTED_VALUE"""),"")</f>
        <v/>
      </c>
      <c r="T934" s="14" t="e">
        <f ca="1"/>
        <v>#N/A</v>
      </c>
      <c r="U934" s="14" t="e">
        <f ca="1"/>
        <v>#N/A</v>
      </c>
      <c r="V934" s="14" t="e">
        <f ca="1"/>
        <v>#N/A</v>
      </c>
      <c r="W934" s="8" t="e">
        <f ca="1"/>
        <v>#N/A</v>
      </c>
      <c r="X934" s="14" t="e">
        <f ca="1"/>
        <v>#N/A</v>
      </c>
    </row>
    <row r="935" spans="19:24" ht="15.75" customHeight="1" x14ac:dyDescent="0.25">
      <c r="S935" s="14" t="str">
        <f ca="1">IFERROR(__xludf.DUMMYFUNCTION("""COMPUTED_VALUE"""),"")</f>
        <v/>
      </c>
      <c r="T935" s="14" t="e">
        <f ca="1"/>
        <v>#N/A</v>
      </c>
      <c r="U935" s="14" t="e">
        <f ca="1"/>
        <v>#N/A</v>
      </c>
      <c r="V935" s="14" t="e">
        <f ca="1"/>
        <v>#N/A</v>
      </c>
      <c r="W935" s="8" t="e">
        <f ca="1"/>
        <v>#N/A</v>
      </c>
      <c r="X935" s="14" t="e">
        <f ca="1"/>
        <v>#N/A</v>
      </c>
    </row>
    <row r="936" spans="19:24" ht="15.75" customHeight="1" x14ac:dyDescent="0.25">
      <c r="S936" s="14" t="str">
        <f ca="1">IFERROR(__xludf.DUMMYFUNCTION("""COMPUTED_VALUE"""),"")</f>
        <v/>
      </c>
      <c r="T936" s="14" t="e">
        <f ca="1"/>
        <v>#N/A</v>
      </c>
      <c r="U936" s="14" t="e">
        <f ca="1"/>
        <v>#N/A</v>
      </c>
      <c r="V936" s="14" t="e">
        <f ca="1"/>
        <v>#N/A</v>
      </c>
      <c r="W936" s="8" t="e">
        <f ca="1"/>
        <v>#N/A</v>
      </c>
      <c r="X936" s="14" t="e">
        <f ca="1"/>
        <v>#N/A</v>
      </c>
    </row>
    <row r="937" spans="19:24" ht="15.75" customHeight="1" x14ac:dyDescent="0.25">
      <c r="S937" s="14" t="str">
        <f ca="1">IFERROR(__xludf.DUMMYFUNCTION("""COMPUTED_VALUE"""),"")</f>
        <v/>
      </c>
      <c r="T937" s="14" t="e">
        <f ca="1"/>
        <v>#N/A</v>
      </c>
      <c r="U937" s="14" t="e">
        <f ca="1"/>
        <v>#N/A</v>
      </c>
      <c r="V937" s="14" t="e">
        <f ca="1"/>
        <v>#N/A</v>
      </c>
      <c r="W937" s="8" t="e">
        <f ca="1"/>
        <v>#N/A</v>
      </c>
      <c r="X937" s="14" t="e">
        <f ca="1"/>
        <v>#N/A</v>
      </c>
    </row>
    <row r="938" spans="19:24" ht="15.75" customHeight="1" x14ac:dyDescent="0.25">
      <c r="S938" s="14" t="str">
        <f ca="1">IFERROR(__xludf.DUMMYFUNCTION("""COMPUTED_VALUE"""),"")</f>
        <v/>
      </c>
      <c r="T938" s="14" t="e">
        <f ca="1"/>
        <v>#N/A</v>
      </c>
      <c r="U938" s="14" t="e">
        <f ca="1"/>
        <v>#N/A</v>
      </c>
      <c r="V938" s="14" t="e">
        <f ca="1"/>
        <v>#N/A</v>
      </c>
      <c r="W938" s="8" t="e">
        <f ca="1"/>
        <v>#N/A</v>
      </c>
      <c r="X938" s="14" t="e">
        <f ca="1"/>
        <v>#N/A</v>
      </c>
    </row>
    <row r="939" spans="19:24" ht="15.75" customHeight="1" x14ac:dyDescent="0.25">
      <c r="S939" s="14" t="str">
        <f ca="1">IFERROR(__xludf.DUMMYFUNCTION("""COMPUTED_VALUE"""),"")</f>
        <v/>
      </c>
      <c r="T939" s="14" t="e">
        <f ca="1"/>
        <v>#N/A</v>
      </c>
      <c r="U939" s="14" t="e">
        <f ca="1"/>
        <v>#N/A</v>
      </c>
      <c r="V939" s="14" t="e">
        <f ca="1"/>
        <v>#N/A</v>
      </c>
      <c r="W939" s="8" t="e">
        <f ca="1"/>
        <v>#N/A</v>
      </c>
      <c r="X939" s="14" t="e">
        <f ca="1"/>
        <v>#N/A</v>
      </c>
    </row>
    <row r="940" spans="19:24" ht="15.75" customHeight="1" x14ac:dyDescent="0.25">
      <c r="S940" s="14" t="str">
        <f ca="1">IFERROR(__xludf.DUMMYFUNCTION("""COMPUTED_VALUE"""),"")</f>
        <v/>
      </c>
      <c r="T940" s="14" t="e">
        <f ca="1"/>
        <v>#N/A</v>
      </c>
      <c r="U940" s="14" t="e">
        <f ca="1"/>
        <v>#N/A</v>
      </c>
      <c r="V940" s="14" t="e">
        <f ca="1"/>
        <v>#N/A</v>
      </c>
      <c r="W940" s="8" t="e">
        <f ca="1"/>
        <v>#N/A</v>
      </c>
      <c r="X940" s="14" t="e">
        <f ca="1"/>
        <v>#N/A</v>
      </c>
    </row>
    <row r="941" spans="19:24" ht="15.75" customHeight="1" x14ac:dyDescent="0.25">
      <c r="S941" s="14" t="str">
        <f ca="1">IFERROR(__xludf.DUMMYFUNCTION("""COMPUTED_VALUE"""),"")</f>
        <v/>
      </c>
      <c r="T941" s="14" t="e">
        <f ca="1"/>
        <v>#N/A</v>
      </c>
      <c r="U941" s="14" t="e">
        <f ca="1"/>
        <v>#N/A</v>
      </c>
      <c r="V941" s="14" t="e">
        <f ca="1"/>
        <v>#N/A</v>
      </c>
      <c r="W941" s="8" t="e">
        <f ca="1"/>
        <v>#N/A</v>
      </c>
      <c r="X941" s="14" t="e">
        <f ca="1"/>
        <v>#N/A</v>
      </c>
    </row>
    <row r="942" spans="19:24" ht="15.75" customHeight="1" x14ac:dyDescent="0.25">
      <c r="S942" s="14" t="str">
        <f ca="1">IFERROR(__xludf.DUMMYFUNCTION("""COMPUTED_VALUE"""),"")</f>
        <v/>
      </c>
      <c r="T942" s="14" t="e">
        <f ca="1"/>
        <v>#N/A</v>
      </c>
      <c r="U942" s="14" t="e">
        <f ca="1"/>
        <v>#N/A</v>
      </c>
      <c r="V942" s="14" t="e">
        <f ca="1"/>
        <v>#N/A</v>
      </c>
      <c r="W942" s="8" t="e">
        <f ca="1"/>
        <v>#N/A</v>
      </c>
      <c r="X942" s="14" t="e">
        <f ca="1"/>
        <v>#N/A</v>
      </c>
    </row>
    <row r="943" spans="19:24" ht="15.75" customHeight="1" x14ac:dyDescent="0.25">
      <c r="S943" s="14" t="str">
        <f ca="1">IFERROR(__xludf.DUMMYFUNCTION("""COMPUTED_VALUE"""),"")</f>
        <v/>
      </c>
      <c r="T943" s="14" t="e">
        <f ca="1"/>
        <v>#N/A</v>
      </c>
      <c r="U943" s="14" t="e">
        <f ca="1"/>
        <v>#N/A</v>
      </c>
      <c r="V943" s="14" t="e">
        <f ca="1"/>
        <v>#N/A</v>
      </c>
      <c r="W943" s="8" t="e">
        <f ca="1"/>
        <v>#N/A</v>
      </c>
      <c r="X943" s="14" t="e">
        <f ca="1"/>
        <v>#N/A</v>
      </c>
    </row>
    <row r="944" spans="19:24" ht="15.75" customHeight="1" x14ac:dyDescent="0.25">
      <c r="S944" s="14" t="str">
        <f ca="1">IFERROR(__xludf.DUMMYFUNCTION("""COMPUTED_VALUE"""),"")</f>
        <v/>
      </c>
      <c r="T944" s="14" t="e">
        <f ca="1"/>
        <v>#N/A</v>
      </c>
      <c r="U944" s="14" t="e">
        <f ca="1"/>
        <v>#N/A</v>
      </c>
      <c r="V944" s="14" t="e">
        <f ca="1"/>
        <v>#N/A</v>
      </c>
      <c r="W944" s="8" t="e">
        <f ca="1"/>
        <v>#N/A</v>
      </c>
      <c r="X944" s="14" t="e">
        <f ca="1"/>
        <v>#N/A</v>
      </c>
    </row>
    <row r="945" spans="19:24" ht="15.75" customHeight="1" x14ac:dyDescent="0.25">
      <c r="S945" s="14" t="str">
        <f ca="1">IFERROR(__xludf.DUMMYFUNCTION("""COMPUTED_VALUE"""),"")</f>
        <v/>
      </c>
      <c r="T945" s="14" t="e">
        <f ca="1"/>
        <v>#N/A</v>
      </c>
      <c r="U945" s="14" t="e">
        <f ca="1"/>
        <v>#N/A</v>
      </c>
      <c r="V945" s="14" t="e">
        <f ca="1"/>
        <v>#N/A</v>
      </c>
      <c r="W945" s="8" t="e">
        <f ca="1"/>
        <v>#N/A</v>
      </c>
      <c r="X945" s="14" t="e">
        <f ca="1"/>
        <v>#N/A</v>
      </c>
    </row>
    <row r="946" spans="19:24" ht="15.75" customHeight="1" x14ac:dyDescent="0.25">
      <c r="S946" s="14" t="str">
        <f ca="1">IFERROR(__xludf.DUMMYFUNCTION("""COMPUTED_VALUE"""),"")</f>
        <v/>
      </c>
      <c r="T946" s="14" t="e">
        <f ca="1"/>
        <v>#N/A</v>
      </c>
      <c r="U946" s="14" t="e">
        <f ca="1"/>
        <v>#N/A</v>
      </c>
      <c r="V946" s="14" t="e">
        <f ca="1"/>
        <v>#N/A</v>
      </c>
      <c r="W946" s="8" t="e">
        <f ca="1"/>
        <v>#N/A</v>
      </c>
      <c r="X946" s="14" t="e">
        <f ca="1"/>
        <v>#N/A</v>
      </c>
    </row>
    <row r="947" spans="19:24" ht="15.75" customHeight="1" x14ac:dyDescent="0.25">
      <c r="S947" s="14" t="str">
        <f ca="1">IFERROR(__xludf.DUMMYFUNCTION("""COMPUTED_VALUE"""),"")</f>
        <v/>
      </c>
      <c r="T947" s="14" t="e">
        <f ca="1"/>
        <v>#N/A</v>
      </c>
      <c r="U947" s="14" t="e">
        <f ca="1"/>
        <v>#N/A</v>
      </c>
      <c r="V947" s="14" t="e">
        <f ca="1"/>
        <v>#N/A</v>
      </c>
      <c r="W947" s="8" t="e">
        <f ca="1"/>
        <v>#N/A</v>
      </c>
      <c r="X947" s="14" t="e">
        <f ca="1"/>
        <v>#N/A</v>
      </c>
    </row>
    <row r="948" spans="19:24" ht="15.75" customHeight="1" x14ac:dyDescent="0.25">
      <c r="S948" s="14" t="str">
        <f ca="1">IFERROR(__xludf.DUMMYFUNCTION("""COMPUTED_VALUE"""),"")</f>
        <v/>
      </c>
      <c r="T948" s="14" t="e">
        <f ca="1"/>
        <v>#N/A</v>
      </c>
      <c r="U948" s="14" t="e">
        <f ca="1"/>
        <v>#N/A</v>
      </c>
      <c r="V948" s="14" t="e">
        <f ca="1"/>
        <v>#N/A</v>
      </c>
      <c r="W948" s="8" t="e">
        <f ca="1"/>
        <v>#N/A</v>
      </c>
      <c r="X948" s="14" t="e">
        <f ca="1"/>
        <v>#N/A</v>
      </c>
    </row>
    <row r="949" spans="19:24" ht="15.75" customHeight="1" x14ac:dyDescent="0.25">
      <c r="S949" s="14" t="str">
        <f ca="1">IFERROR(__xludf.DUMMYFUNCTION("""COMPUTED_VALUE"""),"")</f>
        <v/>
      </c>
      <c r="T949" s="14" t="e">
        <f ca="1"/>
        <v>#N/A</v>
      </c>
      <c r="U949" s="14" t="e">
        <f ca="1"/>
        <v>#N/A</v>
      </c>
      <c r="V949" s="14" t="e">
        <f ca="1"/>
        <v>#N/A</v>
      </c>
      <c r="W949" s="8" t="e">
        <f ca="1"/>
        <v>#N/A</v>
      </c>
      <c r="X949" s="14" t="e">
        <f ca="1"/>
        <v>#N/A</v>
      </c>
    </row>
    <row r="950" spans="19:24" ht="15.75" customHeight="1" x14ac:dyDescent="0.25">
      <c r="S950" s="14" t="str">
        <f ca="1">IFERROR(__xludf.DUMMYFUNCTION("""COMPUTED_VALUE"""),"")</f>
        <v/>
      </c>
      <c r="T950" s="14" t="e">
        <f ca="1"/>
        <v>#N/A</v>
      </c>
      <c r="U950" s="14" t="e">
        <f ca="1"/>
        <v>#N/A</v>
      </c>
      <c r="V950" s="14" t="e">
        <f ca="1"/>
        <v>#N/A</v>
      </c>
      <c r="W950" s="8" t="e">
        <f ca="1"/>
        <v>#N/A</v>
      </c>
      <c r="X950" s="14" t="e">
        <f ca="1"/>
        <v>#N/A</v>
      </c>
    </row>
    <row r="951" spans="19:24" ht="15.75" customHeight="1" x14ac:dyDescent="0.25">
      <c r="S951" s="14" t="str">
        <f ca="1">IFERROR(__xludf.DUMMYFUNCTION("""COMPUTED_VALUE"""),"")</f>
        <v/>
      </c>
      <c r="T951" s="14" t="e">
        <f ca="1"/>
        <v>#N/A</v>
      </c>
      <c r="U951" s="14" t="e">
        <f ca="1"/>
        <v>#N/A</v>
      </c>
      <c r="V951" s="14" t="e">
        <f ca="1"/>
        <v>#N/A</v>
      </c>
      <c r="W951" s="8" t="e">
        <f ca="1"/>
        <v>#N/A</v>
      </c>
      <c r="X951" s="14" t="e">
        <f ca="1"/>
        <v>#N/A</v>
      </c>
    </row>
    <row r="952" spans="19:24" ht="15.75" customHeight="1" x14ac:dyDescent="0.25">
      <c r="S952" s="14" t="str">
        <f ca="1">IFERROR(__xludf.DUMMYFUNCTION("""COMPUTED_VALUE"""),"")</f>
        <v/>
      </c>
      <c r="T952" s="14" t="e">
        <f ca="1"/>
        <v>#N/A</v>
      </c>
      <c r="U952" s="14" t="e">
        <f ca="1"/>
        <v>#N/A</v>
      </c>
      <c r="V952" s="14" t="e">
        <f ca="1"/>
        <v>#N/A</v>
      </c>
      <c r="W952" s="8" t="e">
        <f ca="1"/>
        <v>#N/A</v>
      </c>
      <c r="X952" s="14" t="e">
        <f ca="1"/>
        <v>#N/A</v>
      </c>
    </row>
    <row r="953" spans="19:24" ht="15.75" customHeight="1" x14ac:dyDescent="0.25">
      <c r="S953" s="14" t="str">
        <f ca="1">IFERROR(__xludf.DUMMYFUNCTION("""COMPUTED_VALUE"""),"")</f>
        <v/>
      </c>
      <c r="T953" s="14" t="e">
        <f ca="1"/>
        <v>#N/A</v>
      </c>
      <c r="U953" s="14" t="e">
        <f ca="1"/>
        <v>#N/A</v>
      </c>
      <c r="V953" s="14" t="e">
        <f ca="1"/>
        <v>#N/A</v>
      </c>
      <c r="W953" s="8" t="e">
        <f ca="1"/>
        <v>#N/A</v>
      </c>
      <c r="X953" s="14" t="e">
        <f ca="1"/>
        <v>#N/A</v>
      </c>
    </row>
    <row r="954" spans="19:24" ht="15.75" customHeight="1" x14ac:dyDescent="0.25">
      <c r="S954" s="14" t="str">
        <f ca="1">IFERROR(__xludf.DUMMYFUNCTION("""COMPUTED_VALUE"""),"")</f>
        <v/>
      </c>
      <c r="T954" s="14" t="e">
        <f ca="1"/>
        <v>#N/A</v>
      </c>
      <c r="U954" s="14" t="e">
        <f ca="1"/>
        <v>#N/A</v>
      </c>
      <c r="V954" s="14" t="e">
        <f ca="1"/>
        <v>#N/A</v>
      </c>
      <c r="W954" s="8" t="e">
        <f ca="1"/>
        <v>#N/A</v>
      </c>
      <c r="X954" s="14" t="e">
        <f ca="1"/>
        <v>#N/A</v>
      </c>
    </row>
    <row r="955" spans="19:24" ht="15.75" customHeight="1" x14ac:dyDescent="0.25">
      <c r="S955" s="14" t="str">
        <f ca="1">IFERROR(__xludf.DUMMYFUNCTION("""COMPUTED_VALUE"""),"")</f>
        <v/>
      </c>
      <c r="T955" s="14" t="e">
        <f ca="1"/>
        <v>#N/A</v>
      </c>
      <c r="U955" s="14" t="e">
        <f ca="1"/>
        <v>#N/A</v>
      </c>
      <c r="V955" s="14" t="e">
        <f ca="1"/>
        <v>#N/A</v>
      </c>
      <c r="W955" s="8" t="e">
        <f ca="1"/>
        <v>#N/A</v>
      </c>
      <c r="X955" s="14" t="e">
        <f ca="1"/>
        <v>#N/A</v>
      </c>
    </row>
    <row r="956" spans="19:24" ht="15.75" customHeight="1" x14ac:dyDescent="0.25">
      <c r="S956" s="14" t="str">
        <f ca="1">IFERROR(__xludf.DUMMYFUNCTION("""COMPUTED_VALUE"""),"")</f>
        <v/>
      </c>
      <c r="T956" s="14" t="e">
        <f ca="1"/>
        <v>#N/A</v>
      </c>
      <c r="U956" s="14" t="e">
        <f ca="1"/>
        <v>#N/A</v>
      </c>
      <c r="V956" s="14" t="e">
        <f ca="1"/>
        <v>#N/A</v>
      </c>
      <c r="W956" s="8" t="e">
        <f ca="1"/>
        <v>#N/A</v>
      </c>
      <c r="X956" s="14" t="e">
        <f ca="1"/>
        <v>#N/A</v>
      </c>
    </row>
    <row r="957" spans="19:24" ht="15.75" customHeight="1" x14ac:dyDescent="0.25">
      <c r="S957" s="14" t="str">
        <f ca="1">IFERROR(__xludf.DUMMYFUNCTION("""COMPUTED_VALUE"""),"")</f>
        <v/>
      </c>
      <c r="T957" s="14" t="e">
        <f ca="1"/>
        <v>#N/A</v>
      </c>
      <c r="U957" s="14" t="e">
        <f ca="1"/>
        <v>#N/A</v>
      </c>
      <c r="V957" s="14" t="e">
        <f ca="1"/>
        <v>#N/A</v>
      </c>
      <c r="W957" s="8" t="e">
        <f ca="1"/>
        <v>#N/A</v>
      </c>
      <c r="X957" s="14" t="e">
        <f ca="1"/>
        <v>#N/A</v>
      </c>
    </row>
    <row r="958" spans="19:24" ht="15.75" customHeight="1" x14ac:dyDescent="0.25">
      <c r="S958" s="14" t="str">
        <f ca="1">IFERROR(__xludf.DUMMYFUNCTION("""COMPUTED_VALUE"""),"")</f>
        <v/>
      </c>
      <c r="T958" s="14" t="e">
        <f ca="1"/>
        <v>#N/A</v>
      </c>
      <c r="U958" s="14" t="e">
        <f ca="1"/>
        <v>#N/A</v>
      </c>
      <c r="V958" s="14" t="e">
        <f ca="1"/>
        <v>#N/A</v>
      </c>
      <c r="W958" s="8" t="e">
        <f ca="1"/>
        <v>#N/A</v>
      </c>
      <c r="X958" s="14" t="e">
        <f ca="1"/>
        <v>#N/A</v>
      </c>
    </row>
    <row r="959" spans="19:24" ht="15.75" customHeight="1" x14ac:dyDescent="0.25">
      <c r="S959" s="14" t="str">
        <f ca="1">IFERROR(__xludf.DUMMYFUNCTION("""COMPUTED_VALUE"""),"")</f>
        <v/>
      </c>
      <c r="T959" s="14" t="e">
        <f ca="1"/>
        <v>#N/A</v>
      </c>
      <c r="U959" s="14" t="e">
        <f ca="1"/>
        <v>#N/A</v>
      </c>
      <c r="V959" s="14" t="e">
        <f ca="1"/>
        <v>#N/A</v>
      </c>
      <c r="W959" s="8" t="e">
        <f ca="1"/>
        <v>#N/A</v>
      </c>
      <c r="X959" s="14" t="e">
        <f ca="1"/>
        <v>#N/A</v>
      </c>
    </row>
    <row r="960" spans="19:24" ht="15.75" customHeight="1" x14ac:dyDescent="0.25">
      <c r="S960" s="14" t="str">
        <f ca="1">IFERROR(__xludf.DUMMYFUNCTION("""COMPUTED_VALUE"""),"")</f>
        <v/>
      </c>
      <c r="T960" s="14" t="e">
        <f ca="1"/>
        <v>#N/A</v>
      </c>
      <c r="U960" s="14" t="e">
        <f ca="1"/>
        <v>#N/A</v>
      </c>
      <c r="V960" s="14" t="e">
        <f ca="1"/>
        <v>#N/A</v>
      </c>
      <c r="W960" s="8" t="e">
        <f ca="1"/>
        <v>#N/A</v>
      </c>
      <c r="X960" s="14" t="e">
        <f ca="1"/>
        <v>#N/A</v>
      </c>
    </row>
    <row r="961" spans="19:24" ht="15.75" customHeight="1" x14ac:dyDescent="0.25">
      <c r="S961" s="14" t="str">
        <f ca="1">IFERROR(__xludf.DUMMYFUNCTION("""COMPUTED_VALUE"""),"")</f>
        <v/>
      </c>
      <c r="T961" s="14" t="e">
        <f ca="1"/>
        <v>#N/A</v>
      </c>
      <c r="U961" s="14" t="e">
        <f ca="1"/>
        <v>#N/A</v>
      </c>
      <c r="V961" s="14" t="e">
        <f ca="1"/>
        <v>#N/A</v>
      </c>
      <c r="W961" s="8" t="e">
        <f ca="1"/>
        <v>#N/A</v>
      </c>
      <c r="X961" s="14" t="e">
        <f ca="1"/>
        <v>#N/A</v>
      </c>
    </row>
    <row r="962" spans="19:24" ht="15.75" customHeight="1" x14ac:dyDescent="0.25">
      <c r="S962" s="14" t="str">
        <f ca="1">IFERROR(__xludf.DUMMYFUNCTION("""COMPUTED_VALUE"""),"")</f>
        <v/>
      </c>
      <c r="T962" s="14" t="e">
        <f ca="1"/>
        <v>#N/A</v>
      </c>
      <c r="U962" s="14" t="e">
        <f ca="1"/>
        <v>#N/A</v>
      </c>
      <c r="V962" s="14" t="e">
        <f ca="1"/>
        <v>#N/A</v>
      </c>
      <c r="W962" s="8" t="e">
        <f ca="1"/>
        <v>#N/A</v>
      </c>
      <c r="X962" s="14" t="e">
        <f ca="1"/>
        <v>#N/A</v>
      </c>
    </row>
    <row r="963" spans="19:24" ht="15.75" customHeight="1" x14ac:dyDescent="0.25">
      <c r="S963" s="14" t="str">
        <f ca="1">IFERROR(__xludf.DUMMYFUNCTION("""COMPUTED_VALUE"""),"")</f>
        <v/>
      </c>
      <c r="T963" s="14" t="e">
        <f ca="1"/>
        <v>#N/A</v>
      </c>
      <c r="U963" s="14" t="e">
        <f ca="1"/>
        <v>#N/A</v>
      </c>
      <c r="V963" s="14" t="e">
        <f ca="1"/>
        <v>#N/A</v>
      </c>
      <c r="W963" s="8" t="e">
        <f ca="1"/>
        <v>#N/A</v>
      </c>
      <c r="X963" s="14" t="e">
        <f ca="1"/>
        <v>#N/A</v>
      </c>
    </row>
    <row r="964" spans="19:24" ht="15.75" customHeight="1" x14ac:dyDescent="0.25">
      <c r="S964" s="14" t="str">
        <f ca="1">IFERROR(__xludf.DUMMYFUNCTION("""COMPUTED_VALUE"""),"")</f>
        <v/>
      </c>
      <c r="T964" s="14" t="e">
        <f ca="1"/>
        <v>#N/A</v>
      </c>
      <c r="U964" s="14" t="e">
        <f ca="1"/>
        <v>#N/A</v>
      </c>
      <c r="V964" s="14" t="e">
        <f ca="1"/>
        <v>#N/A</v>
      </c>
      <c r="W964" s="8" t="e">
        <f ca="1"/>
        <v>#N/A</v>
      </c>
      <c r="X964" s="14" t="e">
        <f ca="1"/>
        <v>#N/A</v>
      </c>
    </row>
    <row r="965" spans="19:24" ht="15.75" customHeight="1" x14ac:dyDescent="0.25">
      <c r="S965" s="14" t="str">
        <f ca="1">IFERROR(__xludf.DUMMYFUNCTION("""COMPUTED_VALUE"""),"")</f>
        <v/>
      </c>
      <c r="T965" s="14" t="e">
        <f ca="1"/>
        <v>#N/A</v>
      </c>
      <c r="U965" s="14" t="e">
        <f ca="1"/>
        <v>#N/A</v>
      </c>
      <c r="V965" s="14" t="e">
        <f ca="1"/>
        <v>#N/A</v>
      </c>
      <c r="W965" s="8" t="e">
        <f ca="1"/>
        <v>#N/A</v>
      </c>
      <c r="X965" s="14" t="e">
        <f ca="1"/>
        <v>#N/A</v>
      </c>
    </row>
    <row r="966" spans="19:24" ht="15.75" customHeight="1" x14ac:dyDescent="0.25">
      <c r="S966" s="14" t="str">
        <f ca="1">IFERROR(__xludf.DUMMYFUNCTION("""COMPUTED_VALUE"""),"")</f>
        <v/>
      </c>
      <c r="T966" s="14" t="e">
        <f ca="1"/>
        <v>#N/A</v>
      </c>
      <c r="U966" s="14" t="e">
        <f ca="1"/>
        <v>#N/A</v>
      </c>
      <c r="V966" s="14" t="e">
        <f ca="1"/>
        <v>#N/A</v>
      </c>
      <c r="W966" s="8" t="e">
        <f ca="1"/>
        <v>#N/A</v>
      </c>
      <c r="X966" s="14" t="e">
        <f ca="1"/>
        <v>#N/A</v>
      </c>
    </row>
    <row r="967" spans="19:24" ht="15.75" customHeight="1" x14ac:dyDescent="0.25">
      <c r="S967" s="14" t="str">
        <f ca="1">IFERROR(__xludf.DUMMYFUNCTION("""COMPUTED_VALUE"""),"")</f>
        <v/>
      </c>
      <c r="T967" s="14" t="e">
        <f ca="1"/>
        <v>#N/A</v>
      </c>
      <c r="U967" s="14" t="e">
        <f ca="1"/>
        <v>#N/A</v>
      </c>
      <c r="V967" s="14" t="e">
        <f ca="1"/>
        <v>#N/A</v>
      </c>
      <c r="W967" s="8" t="e">
        <f ca="1"/>
        <v>#N/A</v>
      </c>
      <c r="X967" s="14" t="e">
        <f ca="1"/>
        <v>#N/A</v>
      </c>
    </row>
    <row r="968" spans="19:24" ht="15.75" customHeight="1" x14ac:dyDescent="0.25">
      <c r="S968" s="14" t="str">
        <f ca="1">IFERROR(__xludf.DUMMYFUNCTION("""COMPUTED_VALUE"""),"")</f>
        <v/>
      </c>
      <c r="T968" s="14" t="e">
        <f ca="1"/>
        <v>#N/A</v>
      </c>
      <c r="U968" s="14" t="e">
        <f ca="1"/>
        <v>#N/A</v>
      </c>
      <c r="V968" s="14" t="e">
        <f ca="1"/>
        <v>#N/A</v>
      </c>
      <c r="W968" s="8" t="e">
        <f ca="1"/>
        <v>#N/A</v>
      </c>
      <c r="X968" s="14" t="e">
        <f ca="1"/>
        <v>#N/A</v>
      </c>
    </row>
    <row r="969" spans="19:24" ht="15.75" customHeight="1" x14ac:dyDescent="0.25">
      <c r="S969" s="14" t="str">
        <f ca="1">IFERROR(__xludf.DUMMYFUNCTION("""COMPUTED_VALUE"""),"")</f>
        <v/>
      </c>
      <c r="T969" s="14" t="e">
        <f ca="1"/>
        <v>#N/A</v>
      </c>
      <c r="U969" s="14" t="e">
        <f ca="1"/>
        <v>#N/A</v>
      </c>
      <c r="V969" s="14" t="e">
        <f ca="1"/>
        <v>#N/A</v>
      </c>
      <c r="W969" s="8" t="e">
        <f ca="1"/>
        <v>#N/A</v>
      </c>
      <c r="X969" s="14" t="e">
        <f ca="1"/>
        <v>#N/A</v>
      </c>
    </row>
    <row r="970" spans="19:24" ht="15.75" customHeight="1" x14ac:dyDescent="0.25">
      <c r="S970" s="14" t="str">
        <f ca="1">IFERROR(__xludf.DUMMYFUNCTION("""COMPUTED_VALUE"""),"")</f>
        <v/>
      </c>
      <c r="T970" s="14" t="e">
        <f ca="1"/>
        <v>#N/A</v>
      </c>
      <c r="U970" s="14" t="e">
        <f ca="1"/>
        <v>#N/A</v>
      </c>
      <c r="V970" s="14" t="e">
        <f ca="1"/>
        <v>#N/A</v>
      </c>
      <c r="W970" s="8" t="e">
        <f ca="1"/>
        <v>#N/A</v>
      </c>
      <c r="X970" s="14" t="e">
        <f ca="1"/>
        <v>#N/A</v>
      </c>
    </row>
    <row r="971" spans="19:24" ht="15.75" customHeight="1" x14ac:dyDescent="0.25">
      <c r="S971" s="14" t="str">
        <f ca="1">IFERROR(__xludf.DUMMYFUNCTION("""COMPUTED_VALUE"""),"")</f>
        <v/>
      </c>
      <c r="T971" s="14" t="e">
        <f ca="1"/>
        <v>#N/A</v>
      </c>
      <c r="U971" s="14" t="e">
        <f ca="1"/>
        <v>#N/A</v>
      </c>
      <c r="V971" s="14" t="e">
        <f ca="1"/>
        <v>#N/A</v>
      </c>
      <c r="W971" s="8" t="e">
        <f ca="1"/>
        <v>#N/A</v>
      </c>
      <c r="X971" s="14" t="e">
        <f ca="1"/>
        <v>#N/A</v>
      </c>
    </row>
    <row r="972" spans="19:24" ht="15.75" customHeight="1" x14ac:dyDescent="0.25">
      <c r="S972" s="14" t="str">
        <f ca="1">IFERROR(__xludf.DUMMYFUNCTION("""COMPUTED_VALUE"""),"")</f>
        <v/>
      </c>
      <c r="T972" s="14" t="e">
        <f ca="1"/>
        <v>#N/A</v>
      </c>
      <c r="U972" s="14" t="e">
        <f ca="1"/>
        <v>#N/A</v>
      </c>
      <c r="V972" s="14" t="e">
        <f ca="1"/>
        <v>#N/A</v>
      </c>
      <c r="W972" s="8" t="e">
        <f ca="1"/>
        <v>#N/A</v>
      </c>
      <c r="X972" s="14" t="e">
        <f ca="1"/>
        <v>#N/A</v>
      </c>
    </row>
    <row r="973" spans="19:24" ht="15.75" customHeight="1" x14ac:dyDescent="0.25">
      <c r="S973" s="14" t="str">
        <f ca="1">IFERROR(__xludf.DUMMYFUNCTION("""COMPUTED_VALUE"""),"")</f>
        <v/>
      </c>
      <c r="T973" s="14" t="e">
        <f ca="1"/>
        <v>#N/A</v>
      </c>
      <c r="U973" s="14" t="e">
        <f ca="1"/>
        <v>#N/A</v>
      </c>
      <c r="V973" s="14" t="e">
        <f ca="1"/>
        <v>#N/A</v>
      </c>
      <c r="W973" s="8" t="e">
        <f ca="1"/>
        <v>#N/A</v>
      </c>
      <c r="X973" s="14" t="e">
        <f ca="1"/>
        <v>#N/A</v>
      </c>
    </row>
    <row r="974" spans="19:24" ht="15.75" customHeight="1" x14ac:dyDescent="0.25">
      <c r="S974" s="14" t="str">
        <f ca="1">IFERROR(__xludf.DUMMYFUNCTION("""COMPUTED_VALUE"""),"")</f>
        <v/>
      </c>
      <c r="T974" s="14" t="e">
        <f ca="1"/>
        <v>#N/A</v>
      </c>
      <c r="U974" s="14" t="e">
        <f ca="1"/>
        <v>#N/A</v>
      </c>
      <c r="V974" s="14" t="e">
        <f ca="1"/>
        <v>#N/A</v>
      </c>
      <c r="W974" s="8" t="e">
        <f ca="1"/>
        <v>#N/A</v>
      </c>
      <c r="X974" s="14" t="e">
        <f ca="1"/>
        <v>#N/A</v>
      </c>
    </row>
    <row r="975" spans="19:24" ht="15.75" customHeight="1" x14ac:dyDescent="0.25">
      <c r="S975" s="14" t="str">
        <f ca="1">IFERROR(__xludf.DUMMYFUNCTION("""COMPUTED_VALUE"""),"")</f>
        <v/>
      </c>
      <c r="T975" s="14" t="e">
        <f ca="1"/>
        <v>#N/A</v>
      </c>
      <c r="U975" s="14" t="e">
        <f ca="1"/>
        <v>#N/A</v>
      </c>
      <c r="V975" s="14" t="e">
        <f ca="1"/>
        <v>#N/A</v>
      </c>
      <c r="W975" s="8" t="e">
        <f ca="1"/>
        <v>#N/A</v>
      </c>
      <c r="X975" s="14" t="e">
        <f ca="1"/>
        <v>#N/A</v>
      </c>
    </row>
    <row r="976" spans="19:24" ht="15.75" customHeight="1" x14ac:dyDescent="0.25">
      <c r="S976" s="14" t="str">
        <f ca="1">IFERROR(__xludf.DUMMYFUNCTION("""COMPUTED_VALUE"""),"")</f>
        <v/>
      </c>
      <c r="T976" s="14" t="e">
        <f ca="1"/>
        <v>#N/A</v>
      </c>
      <c r="U976" s="14" t="e">
        <f ca="1"/>
        <v>#N/A</v>
      </c>
      <c r="V976" s="14" t="e">
        <f ca="1"/>
        <v>#N/A</v>
      </c>
      <c r="W976" s="8" t="e">
        <f ca="1"/>
        <v>#N/A</v>
      </c>
      <c r="X976" s="14" t="e">
        <f ca="1"/>
        <v>#N/A</v>
      </c>
    </row>
    <row r="977" spans="19:24" ht="15.75" customHeight="1" x14ac:dyDescent="0.25">
      <c r="S977" s="14" t="str">
        <f ca="1">IFERROR(__xludf.DUMMYFUNCTION("""COMPUTED_VALUE"""),"")</f>
        <v/>
      </c>
      <c r="T977" s="14" t="e">
        <f ca="1"/>
        <v>#N/A</v>
      </c>
      <c r="U977" s="14" t="e">
        <f ca="1"/>
        <v>#N/A</v>
      </c>
      <c r="V977" s="14" t="e">
        <f ca="1"/>
        <v>#N/A</v>
      </c>
      <c r="W977" s="8" t="e">
        <f ca="1"/>
        <v>#N/A</v>
      </c>
      <c r="X977" s="14" t="e">
        <f ca="1"/>
        <v>#N/A</v>
      </c>
    </row>
    <row r="978" spans="19:24" ht="15.75" customHeight="1" x14ac:dyDescent="0.25">
      <c r="S978" s="14" t="str">
        <f ca="1">IFERROR(__xludf.DUMMYFUNCTION("""COMPUTED_VALUE"""),"")</f>
        <v/>
      </c>
      <c r="T978" s="14" t="e">
        <f ca="1"/>
        <v>#N/A</v>
      </c>
      <c r="U978" s="14" t="e">
        <f ca="1"/>
        <v>#N/A</v>
      </c>
      <c r="V978" s="14" t="e">
        <f ca="1"/>
        <v>#N/A</v>
      </c>
      <c r="W978" s="8" t="e">
        <f ca="1"/>
        <v>#N/A</v>
      </c>
      <c r="X978" s="14" t="e">
        <f ca="1"/>
        <v>#N/A</v>
      </c>
    </row>
    <row r="979" spans="19:24" ht="15.75" customHeight="1" x14ac:dyDescent="0.25">
      <c r="S979" s="14" t="str">
        <f ca="1">IFERROR(__xludf.DUMMYFUNCTION("""COMPUTED_VALUE"""),"")</f>
        <v/>
      </c>
      <c r="T979" s="14" t="e">
        <f ca="1"/>
        <v>#N/A</v>
      </c>
      <c r="U979" s="14" t="e">
        <f ca="1"/>
        <v>#N/A</v>
      </c>
      <c r="V979" s="14" t="e">
        <f ca="1"/>
        <v>#N/A</v>
      </c>
      <c r="W979" s="8" t="e">
        <f ca="1"/>
        <v>#N/A</v>
      </c>
      <c r="X979" s="14" t="e">
        <f ca="1"/>
        <v>#N/A</v>
      </c>
    </row>
    <row r="980" spans="19:24" ht="15.75" customHeight="1" x14ac:dyDescent="0.25">
      <c r="S980" s="14" t="str">
        <f ca="1">IFERROR(__xludf.DUMMYFUNCTION("""COMPUTED_VALUE"""),"")</f>
        <v/>
      </c>
      <c r="T980" s="14" t="e">
        <f ca="1"/>
        <v>#N/A</v>
      </c>
      <c r="U980" s="14" t="e">
        <f ca="1"/>
        <v>#N/A</v>
      </c>
      <c r="V980" s="14" t="e">
        <f ca="1"/>
        <v>#N/A</v>
      </c>
      <c r="W980" s="8" t="e">
        <f ca="1"/>
        <v>#N/A</v>
      </c>
      <c r="X980" s="14" t="e">
        <f ca="1"/>
        <v>#N/A</v>
      </c>
    </row>
    <row r="981" spans="19:24" ht="15.75" customHeight="1" x14ac:dyDescent="0.25">
      <c r="S981" s="14" t="str">
        <f ca="1">IFERROR(__xludf.DUMMYFUNCTION("""COMPUTED_VALUE"""),"")</f>
        <v/>
      </c>
      <c r="T981" s="14" t="e">
        <f ca="1"/>
        <v>#N/A</v>
      </c>
      <c r="U981" s="14" t="e">
        <f ca="1"/>
        <v>#N/A</v>
      </c>
      <c r="V981" s="14" t="e">
        <f ca="1"/>
        <v>#N/A</v>
      </c>
      <c r="W981" s="8" t="e">
        <f ca="1"/>
        <v>#N/A</v>
      </c>
      <c r="X981" s="14" t="e">
        <f ca="1"/>
        <v>#N/A</v>
      </c>
    </row>
    <row r="982" spans="19:24" ht="15.75" customHeight="1" x14ac:dyDescent="0.25">
      <c r="S982" s="14" t="str">
        <f ca="1">IFERROR(__xludf.DUMMYFUNCTION("""COMPUTED_VALUE"""),"")</f>
        <v/>
      </c>
      <c r="T982" s="14" t="e">
        <f ca="1"/>
        <v>#N/A</v>
      </c>
      <c r="U982" s="14" t="e">
        <f ca="1"/>
        <v>#N/A</v>
      </c>
      <c r="V982" s="14" t="e">
        <f ca="1"/>
        <v>#N/A</v>
      </c>
      <c r="W982" s="8" t="e">
        <f ca="1"/>
        <v>#N/A</v>
      </c>
      <c r="X982" s="14" t="e">
        <f ca="1"/>
        <v>#N/A</v>
      </c>
    </row>
    <row r="983" spans="19:24" ht="15.75" customHeight="1" x14ac:dyDescent="0.25">
      <c r="S983" s="14" t="str">
        <f ca="1">IFERROR(__xludf.DUMMYFUNCTION("""COMPUTED_VALUE"""),"")</f>
        <v/>
      </c>
      <c r="T983" s="14" t="e">
        <f ca="1"/>
        <v>#N/A</v>
      </c>
      <c r="U983" s="14" t="e">
        <f ca="1"/>
        <v>#N/A</v>
      </c>
      <c r="V983" s="14" t="e">
        <f ca="1"/>
        <v>#N/A</v>
      </c>
      <c r="W983" s="8" t="e">
        <f ca="1"/>
        <v>#N/A</v>
      </c>
      <c r="X983" s="14" t="e">
        <f ca="1"/>
        <v>#N/A</v>
      </c>
    </row>
    <row r="984" spans="19:24" ht="15.75" customHeight="1" x14ac:dyDescent="0.25">
      <c r="S984" s="14" t="str">
        <f ca="1">IFERROR(__xludf.DUMMYFUNCTION("""COMPUTED_VALUE"""),"")</f>
        <v/>
      </c>
      <c r="T984" s="14" t="e">
        <f ca="1"/>
        <v>#N/A</v>
      </c>
      <c r="U984" s="14" t="e">
        <f ca="1"/>
        <v>#N/A</v>
      </c>
      <c r="V984" s="14" t="e">
        <f ca="1"/>
        <v>#N/A</v>
      </c>
      <c r="W984" s="8" t="e">
        <f ca="1"/>
        <v>#N/A</v>
      </c>
      <c r="X984" s="14" t="e">
        <f ca="1"/>
        <v>#N/A</v>
      </c>
    </row>
    <row r="985" spans="19:24" ht="15.75" customHeight="1" x14ac:dyDescent="0.25">
      <c r="S985" s="14" t="str">
        <f ca="1">IFERROR(__xludf.DUMMYFUNCTION("""COMPUTED_VALUE"""),"")</f>
        <v/>
      </c>
      <c r="T985" s="14" t="e">
        <f ca="1"/>
        <v>#N/A</v>
      </c>
      <c r="U985" s="14" t="e">
        <f ca="1"/>
        <v>#N/A</v>
      </c>
      <c r="V985" s="14" t="e">
        <f ca="1"/>
        <v>#N/A</v>
      </c>
      <c r="W985" s="8" t="e">
        <f ca="1"/>
        <v>#N/A</v>
      </c>
      <c r="X985" s="14" t="e">
        <f ca="1"/>
        <v>#N/A</v>
      </c>
    </row>
    <row r="986" spans="19:24" ht="15.75" customHeight="1" x14ac:dyDescent="0.25">
      <c r="S986" s="14" t="str">
        <f ca="1">IFERROR(__xludf.DUMMYFUNCTION("""COMPUTED_VALUE"""),"")</f>
        <v/>
      </c>
      <c r="T986" s="14" t="e">
        <f ca="1"/>
        <v>#N/A</v>
      </c>
      <c r="U986" s="14" t="e">
        <f ca="1"/>
        <v>#N/A</v>
      </c>
      <c r="V986" s="14" t="e">
        <f ca="1"/>
        <v>#N/A</v>
      </c>
      <c r="W986" s="8" t="e">
        <f ca="1"/>
        <v>#N/A</v>
      </c>
      <c r="X986" s="14" t="e">
        <f ca="1"/>
        <v>#N/A</v>
      </c>
    </row>
    <row r="987" spans="19:24" ht="15.75" customHeight="1" x14ac:dyDescent="0.25">
      <c r="S987" s="14" t="str">
        <f ca="1">IFERROR(__xludf.DUMMYFUNCTION("""COMPUTED_VALUE"""),"")</f>
        <v/>
      </c>
      <c r="T987" s="14" t="e">
        <f ca="1"/>
        <v>#N/A</v>
      </c>
      <c r="U987" s="14" t="e">
        <f ca="1"/>
        <v>#N/A</v>
      </c>
      <c r="V987" s="14" t="e">
        <f ca="1"/>
        <v>#N/A</v>
      </c>
      <c r="W987" s="8" t="e">
        <f ca="1"/>
        <v>#N/A</v>
      </c>
      <c r="X987" s="14" t="e">
        <f ca="1"/>
        <v>#N/A</v>
      </c>
    </row>
    <row r="988" spans="19:24" ht="15.75" customHeight="1" x14ac:dyDescent="0.25">
      <c r="S988" s="14" t="str">
        <f ca="1">IFERROR(__xludf.DUMMYFUNCTION("""COMPUTED_VALUE"""),"")</f>
        <v/>
      </c>
      <c r="T988" s="14" t="e">
        <f ca="1"/>
        <v>#N/A</v>
      </c>
      <c r="U988" s="14" t="e">
        <f ca="1"/>
        <v>#N/A</v>
      </c>
      <c r="V988" s="14" t="e">
        <f ca="1"/>
        <v>#N/A</v>
      </c>
      <c r="W988" s="8" t="e">
        <f ca="1"/>
        <v>#N/A</v>
      </c>
      <c r="X988" s="14" t="e">
        <f ca="1"/>
        <v>#N/A</v>
      </c>
    </row>
    <row r="989" spans="19:24" ht="15.75" customHeight="1" x14ac:dyDescent="0.25">
      <c r="S989" s="14" t="str">
        <f ca="1">IFERROR(__xludf.DUMMYFUNCTION("""COMPUTED_VALUE"""),"")</f>
        <v/>
      </c>
      <c r="T989" s="14" t="e">
        <f ca="1"/>
        <v>#N/A</v>
      </c>
      <c r="U989" s="14" t="e">
        <f ca="1"/>
        <v>#N/A</v>
      </c>
      <c r="V989" s="14" t="e">
        <f ca="1"/>
        <v>#N/A</v>
      </c>
      <c r="W989" s="8" t="e">
        <f ca="1"/>
        <v>#N/A</v>
      </c>
      <c r="X989" s="14" t="e">
        <f ca="1"/>
        <v>#N/A</v>
      </c>
    </row>
    <row r="990" spans="19:24" ht="15.75" customHeight="1" x14ac:dyDescent="0.25">
      <c r="S990" s="14" t="str">
        <f ca="1">IFERROR(__xludf.DUMMYFUNCTION("""COMPUTED_VALUE"""),"")</f>
        <v/>
      </c>
      <c r="T990" s="14" t="e">
        <f ca="1"/>
        <v>#N/A</v>
      </c>
      <c r="U990" s="14" t="e">
        <f ca="1"/>
        <v>#N/A</v>
      </c>
      <c r="V990" s="14" t="e">
        <f ca="1"/>
        <v>#N/A</v>
      </c>
      <c r="W990" s="8" t="e">
        <f ca="1"/>
        <v>#N/A</v>
      </c>
      <c r="X990" s="14" t="e">
        <f ca="1"/>
        <v>#N/A</v>
      </c>
    </row>
    <row r="991" spans="19:24" ht="15.75" customHeight="1" x14ac:dyDescent="0.25">
      <c r="S991" s="14" t="str">
        <f ca="1">IFERROR(__xludf.DUMMYFUNCTION("""COMPUTED_VALUE"""),"")</f>
        <v/>
      </c>
      <c r="T991" s="14" t="e">
        <f ca="1"/>
        <v>#N/A</v>
      </c>
      <c r="U991" s="14" t="e">
        <f ca="1"/>
        <v>#N/A</v>
      </c>
      <c r="V991" s="14" t="e">
        <f ca="1"/>
        <v>#N/A</v>
      </c>
      <c r="W991" s="8" t="e">
        <f ca="1"/>
        <v>#N/A</v>
      </c>
      <c r="X991" s="14" t="e">
        <f ca="1"/>
        <v>#N/A</v>
      </c>
    </row>
    <row r="992" spans="19:24" ht="15.75" customHeight="1" x14ac:dyDescent="0.25">
      <c r="S992" s="14" t="str">
        <f ca="1">IFERROR(__xludf.DUMMYFUNCTION("""COMPUTED_VALUE"""),"")</f>
        <v/>
      </c>
      <c r="T992" s="14" t="e">
        <f ca="1"/>
        <v>#N/A</v>
      </c>
      <c r="U992" s="14" t="e">
        <f ca="1"/>
        <v>#N/A</v>
      </c>
      <c r="V992" s="14" t="e">
        <f ca="1"/>
        <v>#N/A</v>
      </c>
      <c r="W992" s="8" t="e">
        <f ca="1"/>
        <v>#N/A</v>
      </c>
      <c r="X992" s="14" t="e">
        <f ca="1"/>
        <v>#N/A</v>
      </c>
    </row>
    <row r="993" spans="19:24" ht="15.75" customHeight="1" x14ac:dyDescent="0.25">
      <c r="S993" s="14" t="str">
        <f ca="1">IFERROR(__xludf.DUMMYFUNCTION("""COMPUTED_VALUE"""),"")</f>
        <v/>
      </c>
      <c r="T993" s="14" t="e">
        <f ca="1"/>
        <v>#N/A</v>
      </c>
      <c r="U993" s="14" t="e">
        <f ca="1"/>
        <v>#N/A</v>
      </c>
      <c r="V993" s="14" t="e">
        <f ca="1"/>
        <v>#N/A</v>
      </c>
      <c r="W993" s="8" t="e">
        <f ca="1"/>
        <v>#N/A</v>
      </c>
      <c r="X993" s="14" t="e">
        <f ca="1"/>
        <v>#N/A</v>
      </c>
    </row>
    <row r="994" spans="19:24" ht="15.75" customHeight="1" x14ac:dyDescent="0.25">
      <c r="S994" s="14" t="str">
        <f ca="1">IFERROR(__xludf.DUMMYFUNCTION("""COMPUTED_VALUE"""),"")</f>
        <v/>
      </c>
      <c r="T994" s="14" t="e">
        <f ca="1"/>
        <v>#N/A</v>
      </c>
      <c r="U994" s="14" t="e">
        <f ca="1"/>
        <v>#N/A</v>
      </c>
      <c r="V994" s="14" t="e">
        <f ca="1"/>
        <v>#N/A</v>
      </c>
      <c r="W994" s="8" t="e">
        <f ca="1"/>
        <v>#N/A</v>
      </c>
      <c r="X994" s="14" t="e">
        <f ca="1"/>
        <v>#N/A</v>
      </c>
    </row>
    <row r="995" spans="19:24" ht="15.75" customHeight="1" x14ac:dyDescent="0.25">
      <c r="S995" s="14" t="str">
        <f ca="1">IFERROR(__xludf.DUMMYFUNCTION("""COMPUTED_VALUE"""),"")</f>
        <v/>
      </c>
      <c r="T995" s="14" t="e">
        <f ca="1"/>
        <v>#N/A</v>
      </c>
      <c r="U995" s="14" t="e">
        <f ca="1"/>
        <v>#N/A</v>
      </c>
      <c r="V995" s="14" t="e">
        <f ca="1"/>
        <v>#N/A</v>
      </c>
      <c r="W995" s="8" t="e">
        <f ca="1"/>
        <v>#N/A</v>
      </c>
      <c r="X995" s="14" t="e">
        <f ca="1"/>
        <v>#N/A</v>
      </c>
    </row>
    <row r="996" spans="19:24" ht="15.75" customHeight="1" x14ac:dyDescent="0.25">
      <c r="S996" s="14" t="str">
        <f ca="1">IFERROR(__xludf.DUMMYFUNCTION("""COMPUTED_VALUE"""),"")</f>
        <v/>
      </c>
      <c r="T996" s="14" t="e">
        <f ca="1"/>
        <v>#N/A</v>
      </c>
      <c r="U996" s="14" t="e">
        <f ca="1"/>
        <v>#N/A</v>
      </c>
      <c r="V996" s="14" t="e">
        <f ca="1"/>
        <v>#N/A</v>
      </c>
      <c r="W996" s="8" t="e">
        <f ca="1"/>
        <v>#N/A</v>
      </c>
      <c r="X996" s="14" t="e">
        <f ca="1"/>
        <v>#N/A</v>
      </c>
    </row>
    <row r="997" spans="19:24" ht="15.75" customHeight="1" x14ac:dyDescent="0.25">
      <c r="S997" s="14" t="str">
        <f ca="1">IFERROR(__xludf.DUMMYFUNCTION("""COMPUTED_VALUE"""),"")</f>
        <v/>
      </c>
      <c r="T997" s="14" t="e">
        <f ca="1"/>
        <v>#N/A</v>
      </c>
      <c r="U997" s="14" t="e">
        <f ca="1"/>
        <v>#N/A</v>
      </c>
      <c r="V997" s="14" t="e">
        <f ca="1"/>
        <v>#N/A</v>
      </c>
      <c r="W997" s="8" t="e">
        <f ca="1"/>
        <v>#N/A</v>
      </c>
      <c r="X997" s="14" t="e">
        <f ca="1"/>
        <v>#N/A</v>
      </c>
    </row>
    <row r="998" spans="19:24" ht="15.75" customHeight="1" x14ac:dyDescent="0.25">
      <c r="S998" s="14" t="str">
        <f ca="1">IFERROR(__xludf.DUMMYFUNCTION("""COMPUTED_VALUE"""),"")</f>
        <v/>
      </c>
      <c r="T998" s="14" t="e">
        <f ca="1"/>
        <v>#N/A</v>
      </c>
      <c r="U998" s="14" t="e">
        <f ca="1"/>
        <v>#N/A</v>
      </c>
      <c r="V998" s="14" t="e">
        <f ca="1"/>
        <v>#N/A</v>
      </c>
      <c r="W998" s="8" t="e">
        <f ca="1"/>
        <v>#N/A</v>
      </c>
      <c r="X998" s="14" t="e">
        <f ca="1"/>
        <v>#N/A</v>
      </c>
    </row>
    <row r="999" spans="19:24" ht="15.75" customHeight="1" x14ac:dyDescent="0.25">
      <c r="S999" s="14" t="str">
        <f ca="1">IFERROR(__xludf.DUMMYFUNCTION("""COMPUTED_VALUE"""),"")</f>
        <v/>
      </c>
      <c r="T999" s="14" t="e">
        <f ca="1"/>
        <v>#N/A</v>
      </c>
      <c r="U999" s="14" t="e">
        <f ca="1"/>
        <v>#N/A</v>
      </c>
      <c r="V999" s="14" t="e">
        <f ca="1"/>
        <v>#N/A</v>
      </c>
      <c r="W999" s="8" t="e">
        <f ca="1"/>
        <v>#N/A</v>
      </c>
      <c r="X999" s="14" t="e">
        <f ca="1"/>
        <v>#N/A</v>
      </c>
    </row>
    <row r="1000" spans="19:24" ht="15.75" customHeight="1" x14ac:dyDescent="0.25">
      <c r="S1000" s="14" t="str">
        <f ca="1">IFERROR(__xludf.DUMMYFUNCTION("""COMPUTED_VALUE"""),"")</f>
        <v/>
      </c>
      <c r="T1000" s="14" t="e">
        <f ca="1"/>
        <v>#N/A</v>
      </c>
      <c r="U1000" s="14" t="e">
        <f ca="1"/>
        <v>#N/A</v>
      </c>
      <c r="V1000" s="14" t="e">
        <f ca="1"/>
        <v>#N/A</v>
      </c>
      <c r="W1000" s="8" t="e">
        <f ca="1"/>
        <v>#N/A</v>
      </c>
      <c r="X1000" s="14" t="e">
        <f ca="1"/>
        <v>#N/A</v>
      </c>
    </row>
  </sheetData>
  <autoFilter ref="A1:Q273" xr:uid="{00000000-0009-0000-0000-000001000000}"/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  <hyperlink ref="B45" r:id="rId44" xr:uid="{00000000-0004-0000-0100-00002B000000}"/>
    <hyperlink ref="B46" r:id="rId45" xr:uid="{00000000-0004-0000-0100-00002C000000}"/>
    <hyperlink ref="B47" r:id="rId46" xr:uid="{00000000-0004-0000-0100-00002D000000}"/>
    <hyperlink ref="B48" r:id="rId47" xr:uid="{00000000-0004-0000-0100-00002E000000}"/>
    <hyperlink ref="B49" r:id="rId48" xr:uid="{00000000-0004-0000-0100-00002F000000}"/>
    <hyperlink ref="B50" r:id="rId49" xr:uid="{00000000-0004-0000-0100-000030000000}"/>
    <hyperlink ref="B51" r:id="rId50" xr:uid="{00000000-0004-0000-0100-000031000000}"/>
    <hyperlink ref="B52" r:id="rId51" xr:uid="{00000000-0004-0000-0100-000032000000}"/>
    <hyperlink ref="B53" r:id="rId52" xr:uid="{00000000-0004-0000-0100-000033000000}"/>
    <hyperlink ref="B54" r:id="rId53" xr:uid="{00000000-0004-0000-0100-000034000000}"/>
    <hyperlink ref="B55" r:id="rId54" xr:uid="{00000000-0004-0000-0100-000035000000}"/>
    <hyperlink ref="B56" r:id="rId55" xr:uid="{00000000-0004-0000-0100-000036000000}"/>
    <hyperlink ref="B57" r:id="rId56" xr:uid="{00000000-0004-0000-0100-000037000000}"/>
    <hyperlink ref="B58" r:id="rId57" xr:uid="{00000000-0004-0000-0100-000038000000}"/>
    <hyperlink ref="B59" r:id="rId58" xr:uid="{00000000-0004-0000-0100-000039000000}"/>
    <hyperlink ref="B60" r:id="rId59" xr:uid="{00000000-0004-0000-0100-00003A000000}"/>
    <hyperlink ref="B61" r:id="rId60" xr:uid="{00000000-0004-0000-0100-00003B000000}"/>
    <hyperlink ref="B62" r:id="rId61" xr:uid="{00000000-0004-0000-0100-00003C000000}"/>
    <hyperlink ref="B63" r:id="rId62" xr:uid="{00000000-0004-0000-0100-00003D000000}"/>
    <hyperlink ref="B64" r:id="rId63" xr:uid="{00000000-0004-0000-0100-00003E000000}"/>
    <hyperlink ref="B65" r:id="rId64" xr:uid="{00000000-0004-0000-0100-00003F000000}"/>
    <hyperlink ref="B66" r:id="rId65" xr:uid="{00000000-0004-0000-0100-000040000000}"/>
    <hyperlink ref="B67" r:id="rId66" xr:uid="{00000000-0004-0000-0100-000041000000}"/>
    <hyperlink ref="B68" r:id="rId67" xr:uid="{00000000-0004-0000-0100-000042000000}"/>
    <hyperlink ref="B69" r:id="rId68" xr:uid="{00000000-0004-0000-0100-000043000000}"/>
    <hyperlink ref="B70" r:id="rId69" xr:uid="{00000000-0004-0000-0100-000044000000}"/>
    <hyperlink ref="B71" r:id="rId70" xr:uid="{00000000-0004-0000-0100-000045000000}"/>
    <hyperlink ref="B72" r:id="rId71" xr:uid="{00000000-0004-0000-0100-000046000000}"/>
    <hyperlink ref="B73" r:id="rId72" xr:uid="{00000000-0004-0000-0100-000047000000}"/>
    <hyperlink ref="B74" r:id="rId73" xr:uid="{00000000-0004-0000-0100-000048000000}"/>
    <hyperlink ref="B75" r:id="rId74" xr:uid="{00000000-0004-0000-0100-000049000000}"/>
    <hyperlink ref="B76" r:id="rId75" xr:uid="{00000000-0004-0000-0100-00004A000000}"/>
    <hyperlink ref="B77" r:id="rId76" xr:uid="{00000000-0004-0000-0100-00004B000000}"/>
    <hyperlink ref="B78" r:id="rId77" xr:uid="{00000000-0004-0000-0100-00004C000000}"/>
    <hyperlink ref="B79" r:id="rId78" xr:uid="{00000000-0004-0000-0100-00004D000000}"/>
    <hyperlink ref="B80" r:id="rId79" xr:uid="{00000000-0004-0000-0100-00004E000000}"/>
    <hyperlink ref="B81" r:id="rId80" xr:uid="{00000000-0004-0000-0100-00004F000000}"/>
    <hyperlink ref="B82" r:id="rId81" xr:uid="{00000000-0004-0000-0100-000050000000}"/>
    <hyperlink ref="B83" r:id="rId82" xr:uid="{00000000-0004-0000-0100-000051000000}"/>
    <hyperlink ref="B84" r:id="rId83" xr:uid="{00000000-0004-0000-0100-000052000000}"/>
    <hyperlink ref="B85" r:id="rId84" xr:uid="{00000000-0004-0000-0100-000053000000}"/>
    <hyperlink ref="B86" r:id="rId85" xr:uid="{00000000-0004-0000-0100-000054000000}"/>
    <hyperlink ref="B87" r:id="rId86" xr:uid="{00000000-0004-0000-0100-000055000000}"/>
    <hyperlink ref="B88" r:id="rId87" xr:uid="{00000000-0004-0000-0100-000056000000}"/>
    <hyperlink ref="B89" r:id="rId88" xr:uid="{00000000-0004-0000-0100-000057000000}"/>
    <hyperlink ref="B90" r:id="rId89" xr:uid="{00000000-0004-0000-0100-000058000000}"/>
    <hyperlink ref="B91" r:id="rId90" xr:uid="{00000000-0004-0000-0100-000059000000}"/>
    <hyperlink ref="B92" r:id="rId91" xr:uid="{00000000-0004-0000-0100-00005A000000}"/>
    <hyperlink ref="B93" r:id="rId92" xr:uid="{00000000-0004-0000-0100-00005B000000}"/>
    <hyperlink ref="B94" r:id="rId93" xr:uid="{00000000-0004-0000-0100-00005C000000}"/>
    <hyperlink ref="B95" r:id="rId94" xr:uid="{00000000-0004-0000-0100-00005D000000}"/>
    <hyperlink ref="B96" r:id="rId95" xr:uid="{00000000-0004-0000-0100-00005E000000}"/>
    <hyperlink ref="B97" r:id="rId96" xr:uid="{00000000-0004-0000-0100-00005F000000}"/>
    <hyperlink ref="B98" r:id="rId97" xr:uid="{00000000-0004-0000-0100-000060000000}"/>
    <hyperlink ref="B99" r:id="rId98" xr:uid="{00000000-0004-0000-0100-000061000000}"/>
    <hyperlink ref="B100" r:id="rId99" xr:uid="{00000000-0004-0000-0100-000062000000}"/>
    <hyperlink ref="B101" r:id="rId100" xr:uid="{00000000-0004-0000-0100-000063000000}"/>
    <hyperlink ref="B102" r:id="rId101" xr:uid="{00000000-0004-0000-0100-000064000000}"/>
    <hyperlink ref="B103" r:id="rId102" xr:uid="{00000000-0004-0000-0100-000065000000}"/>
    <hyperlink ref="B104" r:id="rId103" xr:uid="{00000000-0004-0000-0100-000066000000}"/>
    <hyperlink ref="B105" r:id="rId104" xr:uid="{00000000-0004-0000-0100-000067000000}"/>
    <hyperlink ref="B106" r:id="rId105" xr:uid="{00000000-0004-0000-0100-000068000000}"/>
    <hyperlink ref="B107" r:id="rId106" xr:uid="{00000000-0004-0000-0100-000069000000}"/>
    <hyperlink ref="B108" r:id="rId107" xr:uid="{00000000-0004-0000-0100-00006A000000}"/>
    <hyperlink ref="B109" r:id="rId108" xr:uid="{00000000-0004-0000-0100-00006B000000}"/>
    <hyperlink ref="B110" r:id="rId109" xr:uid="{00000000-0004-0000-0100-00006C000000}"/>
    <hyperlink ref="B111" r:id="rId110" xr:uid="{00000000-0004-0000-0100-00006D000000}"/>
    <hyperlink ref="B112" r:id="rId111" xr:uid="{00000000-0004-0000-0100-00006E000000}"/>
    <hyperlink ref="B113" r:id="rId112" xr:uid="{00000000-0004-0000-0100-00006F000000}"/>
    <hyperlink ref="B114" r:id="rId113" xr:uid="{00000000-0004-0000-0100-000070000000}"/>
    <hyperlink ref="B115" r:id="rId114" xr:uid="{00000000-0004-0000-0100-000071000000}"/>
    <hyperlink ref="B116" r:id="rId115" xr:uid="{00000000-0004-0000-0100-000072000000}"/>
    <hyperlink ref="B117" r:id="rId116" xr:uid="{00000000-0004-0000-0100-000073000000}"/>
    <hyperlink ref="B118" r:id="rId117" xr:uid="{00000000-0004-0000-0100-000074000000}"/>
    <hyperlink ref="B119" r:id="rId118" xr:uid="{00000000-0004-0000-0100-000075000000}"/>
    <hyperlink ref="B120" r:id="rId119" xr:uid="{00000000-0004-0000-0100-000076000000}"/>
    <hyperlink ref="B121" r:id="rId120" xr:uid="{00000000-0004-0000-0100-000077000000}"/>
    <hyperlink ref="B122" r:id="rId121" xr:uid="{00000000-0004-0000-0100-000078000000}"/>
    <hyperlink ref="B123" r:id="rId122" xr:uid="{00000000-0004-0000-0100-000079000000}"/>
    <hyperlink ref="B124" r:id="rId123" xr:uid="{00000000-0004-0000-0100-00007A000000}"/>
    <hyperlink ref="B125" r:id="rId124" xr:uid="{00000000-0004-0000-0100-00007B000000}"/>
    <hyperlink ref="B126" r:id="rId125" xr:uid="{00000000-0004-0000-0100-00007C000000}"/>
    <hyperlink ref="B127" r:id="rId126" xr:uid="{00000000-0004-0000-0100-00007D000000}"/>
    <hyperlink ref="B128" r:id="rId127" xr:uid="{00000000-0004-0000-0100-00007E000000}"/>
    <hyperlink ref="B129" r:id="rId128" xr:uid="{00000000-0004-0000-0100-00007F000000}"/>
    <hyperlink ref="B130" r:id="rId129" xr:uid="{00000000-0004-0000-0100-000080000000}"/>
    <hyperlink ref="B131" r:id="rId130" xr:uid="{00000000-0004-0000-0100-000081000000}"/>
    <hyperlink ref="B132" r:id="rId131" xr:uid="{00000000-0004-0000-0100-000082000000}"/>
    <hyperlink ref="B133" r:id="rId132" xr:uid="{00000000-0004-0000-0100-000083000000}"/>
    <hyperlink ref="B134" r:id="rId133" xr:uid="{00000000-0004-0000-0100-000084000000}"/>
    <hyperlink ref="B135" r:id="rId134" xr:uid="{00000000-0004-0000-0100-000085000000}"/>
    <hyperlink ref="B136" r:id="rId135" xr:uid="{00000000-0004-0000-0100-000086000000}"/>
    <hyperlink ref="B137" r:id="rId136" xr:uid="{00000000-0004-0000-0100-000087000000}"/>
    <hyperlink ref="B138" r:id="rId137" xr:uid="{00000000-0004-0000-0100-000088000000}"/>
    <hyperlink ref="B139" r:id="rId138" xr:uid="{00000000-0004-0000-0100-000089000000}"/>
    <hyperlink ref="B140" r:id="rId139" xr:uid="{00000000-0004-0000-0100-00008A000000}"/>
    <hyperlink ref="B141" r:id="rId140" xr:uid="{00000000-0004-0000-0100-00008B000000}"/>
    <hyperlink ref="B142" r:id="rId141" xr:uid="{00000000-0004-0000-0100-00008C000000}"/>
    <hyperlink ref="B143" r:id="rId142" xr:uid="{00000000-0004-0000-0100-00008D000000}"/>
    <hyperlink ref="B144" r:id="rId143" xr:uid="{00000000-0004-0000-0100-00008E000000}"/>
    <hyperlink ref="B145" r:id="rId144" xr:uid="{00000000-0004-0000-0100-00008F000000}"/>
    <hyperlink ref="B146" r:id="rId145" xr:uid="{00000000-0004-0000-0100-000090000000}"/>
    <hyperlink ref="B147" r:id="rId146" xr:uid="{00000000-0004-0000-0100-000091000000}"/>
    <hyperlink ref="B148" r:id="rId147" xr:uid="{00000000-0004-0000-0100-000092000000}"/>
    <hyperlink ref="B149" r:id="rId148" xr:uid="{00000000-0004-0000-0100-000093000000}"/>
    <hyperlink ref="B150" r:id="rId149" xr:uid="{00000000-0004-0000-0100-000094000000}"/>
    <hyperlink ref="B151" r:id="rId150" xr:uid="{00000000-0004-0000-0100-000095000000}"/>
    <hyperlink ref="B152" r:id="rId151" xr:uid="{00000000-0004-0000-0100-000096000000}"/>
    <hyperlink ref="B153" r:id="rId152" xr:uid="{00000000-0004-0000-0100-000097000000}"/>
    <hyperlink ref="B154" r:id="rId153" xr:uid="{00000000-0004-0000-0100-000098000000}"/>
    <hyperlink ref="B155" r:id="rId154" xr:uid="{00000000-0004-0000-0100-000099000000}"/>
    <hyperlink ref="B156" r:id="rId155" xr:uid="{00000000-0004-0000-0100-00009A000000}"/>
    <hyperlink ref="B157" r:id="rId156" xr:uid="{00000000-0004-0000-0100-00009B000000}"/>
    <hyperlink ref="B158" r:id="rId157" xr:uid="{00000000-0004-0000-0100-00009C000000}"/>
    <hyperlink ref="B159" r:id="rId158" xr:uid="{00000000-0004-0000-0100-00009D000000}"/>
    <hyperlink ref="B160" r:id="rId159" xr:uid="{00000000-0004-0000-0100-00009E000000}"/>
    <hyperlink ref="B161" r:id="rId160" xr:uid="{00000000-0004-0000-0100-00009F000000}"/>
    <hyperlink ref="B162" r:id="rId161" xr:uid="{00000000-0004-0000-0100-0000A0000000}"/>
    <hyperlink ref="B163" r:id="rId162" xr:uid="{00000000-0004-0000-0100-0000A1000000}"/>
    <hyperlink ref="B164" r:id="rId163" xr:uid="{00000000-0004-0000-0100-0000A2000000}"/>
    <hyperlink ref="B165" r:id="rId164" xr:uid="{00000000-0004-0000-0100-0000A3000000}"/>
    <hyperlink ref="B166" r:id="rId165" xr:uid="{00000000-0004-0000-0100-0000A4000000}"/>
    <hyperlink ref="B167" r:id="rId166" xr:uid="{00000000-0004-0000-0100-0000A5000000}"/>
    <hyperlink ref="B168" r:id="rId167" xr:uid="{00000000-0004-0000-0100-0000A6000000}"/>
    <hyperlink ref="B169" r:id="rId168" xr:uid="{00000000-0004-0000-0100-0000A7000000}"/>
    <hyperlink ref="B170" r:id="rId169" xr:uid="{00000000-0004-0000-0100-0000A8000000}"/>
    <hyperlink ref="B171" r:id="rId170" xr:uid="{00000000-0004-0000-0100-0000A9000000}"/>
    <hyperlink ref="B172" r:id="rId171" xr:uid="{00000000-0004-0000-0100-0000AA000000}"/>
    <hyperlink ref="B173" r:id="rId172" xr:uid="{00000000-0004-0000-0100-0000AB000000}"/>
    <hyperlink ref="B174" r:id="rId173" xr:uid="{00000000-0004-0000-0100-0000AC000000}"/>
    <hyperlink ref="B175" r:id="rId174" xr:uid="{00000000-0004-0000-0100-0000AD000000}"/>
    <hyperlink ref="B176" r:id="rId175" xr:uid="{00000000-0004-0000-0100-0000AE000000}"/>
    <hyperlink ref="B177" r:id="rId176" xr:uid="{00000000-0004-0000-0100-0000AF000000}"/>
    <hyperlink ref="B178" r:id="rId177" xr:uid="{00000000-0004-0000-0100-0000B0000000}"/>
    <hyperlink ref="B179" r:id="rId178" xr:uid="{00000000-0004-0000-0100-0000B1000000}"/>
    <hyperlink ref="B180" r:id="rId179" xr:uid="{00000000-0004-0000-0100-0000B2000000}"/>
    <hyperlink ref="B181" r:id="rId180" xr:uid="{00000000-0004-0000-0100-0000B3000000}"/>
    <hyperlink ref="B182" r:id="rId181" xr:uid="{00000000-0004-0000-0100-0000B4000000}"/>
    <hyperlink ref="B183" r:id="rId182" xr:uid="{00000000-0004-0000-0100-0000B5000000}"/>
    <hyperlink ref="B184" r:id="rId183" xr:uid="{00000000-0004-0000-0100-0000B6000000}"/>
    <hyperlink ref="B185" r:id="rId184" xr:uid="{00000000-0004-0000-0100-0000B7000000}"/>
    <hyperlink ref="B186" r:id="rId185" xr:uid="{00000000-0004-0000-0100-0000B8000000}"/>
    <hyperlink ref="B187" r:id="rId186" xr:uid="{00000000-0004-0000-0100-0000B9000000}"/>
    <hyperlink ref="B188" r:id="rId187" xr:uid="{00000000-0004-0000-0100-0000BA000000}"/>
    <hyperlink ref="B189" r:id="rId188" xr:uid="{00000000-0004-0000-0100-0000BB000000}"/>
    <hyperlink ref="B190" r:id="rId189" xr:uid="{00000000-0004-0000-0100-0000BC000000}"/>
    <hyperlink ref="B191" r:id="rId190" xr:uid="{00000000-0004-0000-0100-0000BD000000}"/>
    <hyperlink ref="B192" r:id="rId191" xr:uid="{00000000-0004-0000-0100-0000BE000000}"/>
    <hyperlink ref="B193" r:id="rId192" xr:uid="{00000000-0004-0000-0100-0000BF000000}"/>
    <hyperlink ref="B194" r:id="rId193" xr:uid="{00000000-0004-0000-0100-0000C0000000}"/>
    <hyperlink ref="B195" r:id="rId194" xr:uid="{00000000-0004-0000-0100-0000C1000000}"/>
    <hyperlink ref="B196" r:id="rId195" xr:uid="{00000000-0004-0000-0100-0000C2000000}"/>
    <hyperlink ref="B197" r:id="rId196" xr:uid="{00000000-0004-0000-0100-0000C3000000}"/>
    <hyperlink ref="B198" r:id="rId197" xr:uid="{00000000-0004-0000-0100-0000C4000000}"/>
    <hyperlink ref="B199" r:id="rId198" xr:uid="{00000000-0004-0000-0100-0000C5000000}"/>
    <hyperlink ref="B200" r:id="rId199" xr:uid="{00000000-0004-0000-0100-0000C6000000}"/>
    <hyperlink ref="B201" r:id="rId200" xr:uid="{00000000-0004-0000-0100-0000C7000000}"/>
    <hyperlink ref="B202" r:id="rId201" xr:uid="{00000000-0004-0000-0100-0000C8000000}"/>
    <hyperlink ref="B203" r:id="rId202" xr:uid="{00000000-0004-0000-0100-0000C9000000}"/>
    <hyperlink ref="B204" r:id="rId203" xr:uid="{00000000-0004-0000-0100-0000CA000000}"/>
    <hyperlink ref="B205" r:id="rId204" xr:uid="{00000000-0004-0000-0100-0000CB000000}"/>
    <hyperlink ref="B206" r:id="rId205" xr:uid="{00000000-0004-0000-0100-0000CC000000}"/>
    <hyperlink ref="B207" r:id="rId206" xr:uid="{00000000-0004-0000-0100-0000CD000000}"/>
    <hyperlink ref="B208" r:id="rId207" xr:uid="{00000000-0004-0000-0100-0000CE000000}"/>
    <hyperlink ref="B209" r:id="rId208" xr:uid="{00000000-0004-0000-0100-0000CF000000}"/>
    <hyperlink ref="B210" r:id="rId209" xr:uid="{00000000-0004-0000-0100-0000D0000000}"/>
    <hyperlink ref="B211" r:id="rId210" xr:uid="{00000000-0004-0000-0100-0000D1000000}"/>
    <hyperlink ref="B212" r:id="rId211" xr:uid="{00000000-0004-0000-0100-0000D2000000}"/>
    <hyperlink ref="B213" r:id="rId212" xr:uid="{00000000-0004-0000-0100-0000D3000000}"/>
    <hyperlink ref="B214" r:id="rId213" xr:uid="{00000000-0004-0000-0100-0000D4000000}"/>
    <hyperlink ref="B215" r:id="rId214" xr:uid="{00000000-0004-0000-0100-0000D5000000}"/>
    <hyperlink ref="B216" r:id="rId215" xr:uid="{00000000-0004-0000-0100-0000D6000000}"/>
    <hyperlink ref="B217" r:id="rId216" xr:uid="{00000000-0004-0000-0100-0000D7000000}"/>
    <hyperlink ref="B218" r:id="rId217" xr:uid="{00000000-0004-0000-0100-0000D8000000}"/>
    <hyperlink ref="B219" r:id="rId218" xr:uid="{00000000-0004-0000-0100-0000D9000000}"/>
    <hyperlink ref="B220" r:id="rId219" xr:uid="{00000000-0004-0000-0100-0000DA000000}"/>
    <hyperlink ref="B221" r:id="rId220" xr:uid="{00000000-0004-0000-0100-0000DB000000}"/>
    <hyperlink ref="B222" r:id="rId221" xr:uid="{00000000-0004-0000-0100-0000DC000000}"/>
    <hyperlink ref="B223" r:id="rId222" xr:uid="{00000000-0004-0000-0100-0000DD000000}"/>
    <hyperlink ref="B224" r:id="rId223" xr:uid="{00000000-0004-0000-0100-0000DE000000}"/>
    <hyperlink ref="B225" r:id="rId224" xr:uid="{00000000-0004-0000-0100-0000DF000000}"/>
    <hyperlink ref="B226" r:id="rId225" xr:uid="{00000000-0004-0000-0100-0000E0000000}"/>
    <hyperlink ref="B227" r:id="rId226" xr:uid="{00000000-0004-0000-0100-0000E1000000}"/>
    <hyperlink ref="B228" r:id="rId227" xr:uid="{00000000-0004-0000-0100-0000E2000000}"/>
    <hyperlink ref="B229" r:id="rId228" xr:uid="{00000000-0004-0000-0100-0000E3000000}"/>
    <hyperlink ref="B230" r:id="rId229" xr:uid="{00000000-0004-0000-0100-0000E4000000}"/>
    <hyperlink ref="B231" r:id="rId230" xr:uid="{00000000-0004-0000-0100-0000E5000000}"/>
    <hyperlink ref="B232" r:id="rId231" xr:uid="{00000000-0004-0000-0100-0000E6000000}"/>
    <hyperlink ref="B233" r:id="rId232" xr:uid="{00000000-0004-0000-0100-0000E7000000}"/>
    <hyperlink ref="B234" r:id="rId233" xr:uid="{00000000-0004-0000-0100-0000E8000000}"/>
    <hyperlink ref="B235" r:id="rId234" xr:uid="{00000000-0004-0000-0100-0000E9000000}"/>
    <hyperlink ref="B236" r:id="rId235" xr:uid="{00000000-0004-0000-0100-0000EA000000}"/>
    <hyperlink ref="B237" r:id="rId236" xr:uid="{00000000-0004-0000-0100-0000EB000000}"/>
    <hyperlink ref="B238" r:id="rId237" xr:uid="{00000000-0004-0000-0100-0000EC000000}"/>
    <hyperlink ref="B239" r:id="rId238" xr:uid="{00000000-0004-0000-0100-0000ED000000}"/>
    <hyperlink ref="B240" r:id="rId239" xr:uid="{00000000-0004-0000-0100-0000EE000000}"/>
    <hyperlink ref="B241" r:id="rId240" xr:uid="{00000000-0004-0000-0100-0000EF000000}"/>
    <hyperlink ref="B242" r:id="rId241" xr:uid="{00000000-0004-0000-0100-0000F0000000}"/>
    <hyperlink ref="B243" r:id="rId242" xr:uid="{00000000-0004-0000-0100-0000F1000000}"/>
    <hyperlink ref="B244" r:id="rId243" xr:uid="{00000000-0004-0000-0100-0000F2000000}"/>
    <hyperlink ref="B245" r:id="rId244" xr:uid="{00000000-0004-0000-0100-0000F3000000}"/>
    <hyperlink ref="B246" r:id="rId245" xr:uid="{00000000-0004-0000-0100-0000F4000000}"/>
    <hyperlink ref="B247" r:id="rId246" xr:uid="{00000000-0004-0000-0100-0000F5000000}"/>
    <hyperlink ref="B248" r:id="rId247" xr:uid="{00000000-0004-0000-0100-0000F6000000}"/>
    <hyperlink ref="B249" r:id="rId248" xr:uid="{00000000-0004-0000-0100-0000F7000000}"/>
    <hyperlink ref="B250" r:id="rId249" xr:uid="{00000000-0004-0000-0100-0000F8000000}"/>
    <hyperlink ref="B251" r:id="rId250" xr:uid="{00000000-0004-0000-0100-0000F9000000}"/>
    <hyperlink ref="B252" r:id="rId251" xr:uid="{00000000-0004-0000-0100-0000FA000000}"/>
    <hyperlink ref="B253" r:id="rId252" xr:uid="{00000000-0004-0000-0100-0000FB000000}"/>
    <hyperlink ref="B254" r:id="rId253" xr:uid="{00000000-0004-0000-0100-0000FC000000}"/>
    <hyperlink ref="B255" r:id="rId254" xr:uid="{00000000-0004-0000-0100-0000FD000000}"/>
    <hyperlink ref="B256" r:id="rId255" xr:uid="{00000000-0004-0000-0100-0000FE000000}"/>
    <hyperlink ref="B257" r:id="rId256" xr:uid="{00000000-0004-0000-0100-0000FF000000}"/>
    <hyperlink ref="B258" r:id="rId257" xr:uid="{00000000-0004-0000-0100-000000010000}"/>
    <hyperlink ref="B259" r:id="rId258" xr:uid="{00000000-0004-0000-0100-000001010000}"/>
    <hyperlink ref="B260" r:id="rId259" xr:uid="{00000000-0004-0000-0100-000002010000}"/>
    <hyperlink ref="B261" r:id="rId260" xr:uid="{00000000-0004-0000-0100-000003010000}"/>
    <hyperlink ref="B262" r:id="rId261" xr:uid="{00000000-0004-0000-0100-000004010000}"/>
    <hyperlink ref="B263" r:id="rId262" xr:uid="{00000000-0004-0000-0100-000005010000}"/>
    <hyperlink ref="B264" r:id="rId263" xr:uid="{00000000-0004-0000-0100-000006010000}"/>
    <hyperlink ref="B265" r:id="rId264" xr:uid="{00000000-0004-0000-0100-000007010000}"/>
    <hyperlink ref="B266" r:id="rId265" xr:uid="{00000000-0004-0000-0100-000008010000}"/>
    <hyperlink ref="B267" r:id="rId266" xr:uid="{00000000-0004-0000-0100-000009010000}"/>
    <hyperlink ref="B268" r:id="rId267" xr:uid="{00000000-0004-0000-0100-00000A010000}"/>
    <hyperlink ref="B269" r:id="rId268" xr:uid="{00000000-0004-0000-0100-00000B010000}"/>
    <hyperlink ref="B270" r:id="rId269" xr:uid="{00000000-0004-0000-0100-00000C010000}"/>
    <hyperlink ref="B271" r:id="rId270" xr:uid="{00000000-0004-0000-0100-00000D010000}"/>
    <hyperlink ref="B272" r:id="rId271" xr:uid="{00000000-0004-0000-0100-00000E010000}"/>
    <hyperlink ref="B273" r:id="rId272" xr:uid="{00000000-0004-0000-0100-00000F01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64"/>
  <sheetViews>
    <sheetView workbookViewId="0"/>
  </sheetViews>
  <sheetFormatPr defaultColWidth="14.42578125" defaultRowHeight="15" customHeight="1" x14ac:dyDescent="0.25"/>
  <sheetData>
    <row r="1" spans="1:15" x14ac:dyDescent="0.25">
      <c r="A1" s="16" t="s">
        <v>528</v>
      </c>
      <c r="B1" s="16" t="s">
        <v>529</v>
      </c>
      <c r="C1" s="16" t="s">
        <v>530</v>
      </c>
      <c r="D1" s="17" t="s">
        <v>531</v>
      </c>
      <c r="E1" s="17" t="s">
        <v>532</v>
      </c>
      <c r="F1" s="17" t="s">
        <v>8</v>
      </c>
      <c r="G1" s="17" t="s">
        <v>7</v>
      </c>
      <c r="H1" s="17" t="s">
        <v>9</v>
      </c>
      <c r="I1" s="17" t="s">
        <v>472</v>
      </c>
      <c r="J1" s="17" t="s">
        <v>533</v>
      </c>
      <c r="K1" s="17" t="s">
        <v>473</v>
      </c>
      <c r="L1" s="17" t="s">
        <v>534</v>
      </c>
      <c r="M1" s="17" t="s">
        <v>535</v>
      </c>
      <c r="N1" s="16" t="s">
        <v>536</v>
      </c>
      <c r="O1" s="16" t="s">
        <v>537</v>
      </c>
    </row>
    <row r="2" spans="1:15" x14ac:dyDescent="0.25">
      <c r="A2" s="18">
        <v>1</v>
      </c>
      <c r="B2" s="19" t="s">
        <v>12</v>
      </c>
      <c r="C2" s="20"/>
      <c r="D2" s="21" t="s">
        <v>13</v>
      </c>
      <c r="E2" s="21" t="s">
        <v>538</v>
      </c>
      <c r="F2" s="22" t="s">
        <v>17</v>
      </c>
      <c r="G2" s="22">
        <v>124</v>
      </c>
      <c r="H2" s="22" t="s">
        <v>475</v>
      </c>
      <c r="I2" s="23">
        <v>44937</v>
      </c>
      <c r="J2" s="22" t="s">
        <v>539</v>
      </c>
      <c r="K2" s="22" t="s">
        <v>476</v>
      </c>
      <c r="L2" s="22" t="s">
        <v>540</v>
      </c>
      <c r="M2" s="22" t="s">
        <v>541</v>
      </c>
      <c r="N2" s="18" t="s">
        <v>542</v>
      </c>
      <c r="O2" s="18" t="s">
        <v>543</v>
      </c>
    </row>
    <row r="3" spans="1:15" x14ac:dyDescent="0.25">
      <c r="A3" s="18">
        <v>2</v>
      </c>
      <c r="B3" s="19" t="s">
        <v>22</v>
      </c>
      <c r="C3" s="20"/>
      <c r="D3" s="21" t="s">
        <v>26</v>
      </c>
      <c r="E3" s="21" t="s">
        <v>544</v>
      </c>
      <c r="F3" s="22" t="s">
        <v>17</v>
      </c>
      <c r="G3" s="22">
        <v>186</v>
      </c>
      <c r="H3" s="22">
        <v>26</v>
      </c>
      <c r="I3" s="23">
        <v>45106</v>
      </c>
      <c r="J3" s="22" t="s">
        <v>539</v>
      </c>
      <c r="K3" s="22" t="s">
        <v>477</v>
      </c>
      <c r="L3" s="22" t="s">
        <v>540</v>
      </c>
      <c r="M3" s="22" t="s">
        <v>545</v>
      </c>
      <c r="N3" s="18">
        <v>527</v>
      </c>
      <c r="O3" s="18">
        <v>1750</v>
      </c>
    </row>
    <row r="4" spans="1:15" x14ac:dyDescent="0.25">
      <c r="A4" s="18">
        <v>3</v>
      </c>
      <c r="B4" s="19" t="s">
        <v>27</v>
      </c>
      <c r="C4" s="20"/>
      <c r="D4" s="21" t="s">
        <v>31</v>
      </c>
      <c r="E4" s="21" t="s">
        <v>546</v>
      </c>
      <c r="F4" s="22" t="s">
        <v>30</v>
      </c>
      <c r="G4" s="22">
        <v>164</v>
      </c>
      <c r="H4" s="22">
        <v>19</v>
      </c>
      <c r="I4" s="23">
        <v>45021</v>
      </c>
      <c r="J4" s="22" t="s">
        <v>539</v>
      </c>
      <c r="K4" s="22" t="s">
        <v>478</v>
      </c>
      <c r="L4" s="22" t="s">
        <v>540</v>
      </c>
      <c r="M4" s="22" t="s">
        <v>547</v>
      </c>
      <c r="N4" s="18">
        <v>416</v>
      </c>
      <c r="O4" s="18">
        <v>3640</v>
      </c>
    </row>
    <row r="5" spans="1:15" x14ac:dyDescent="0.25">
      <c r="A5" s="18">
        <v>4</v>
      </c>
      <c r="B5" s="19" t="s">
        <v>33</v>
      </c>
      <c r="C5" s="20"/>
      <c r="D5" s="21" t="s">
        <v>35</v>
      </c>
      <c r="E5" s="21" t="s">
        <v>548</v>
      </c>
      <c r="F5" s="22" t="s">
        <v>17</v>
      </c>
      <c r="G5" s="22">
        <v>185</v>
      </c>
      <c r="H5" s="22">
        <v>28</v>
      </c>
      <c r="I5" s="23">
        <v>45002</v>
      </c>
      <c r="J5" s="22" t="s">
        <v>539</v>
      </c>
      <c r="K5" s="22" t="s">
        <v>297</v>
      </c>
      <c r="L5" s="22" t="s">
        <v>540</v>
      </c>
      <c r="M5" s="22" t="s">
        <v>549</v>
      </c>
      <c r="N5" s="18">
        <v>566</v>
      </c>
      <c r="O5" s="18">
        <v>4820</v>
      </c>
    </row>
    <row r="6" spans="1:15" x14ac:dyDescent="0.25">
      <c r="A6" s="18">
        <v>5</v>
      </c>
      <c r="B6" s="19" t="s">
        <v>36</v>
      </c>
      <c r="C6" s="20"/>
      <c r="D6" s="21" t="s">
        <v>38</v>
      </c>
      <c r="E6" s="21" t="s">
        <v>550</v>
      </c>
      <c r="F6" s="22" t="s">
        <v>30</v>
      </c>
      <c r="G6" s="22">
        <v>145</v>
      </c>
      <c r="H6" s="22">
        <v>14</v>
      </c>
      <c r="I6" s="23">
        <v>45031</v>
      </c>
      <c r="J6" s="22" t="s">
        <v>539</v>
      </c>
      <c r="K6" s="22" t="s">
        <v>297</v>
      </c>
      <c r="L6" s="22" t="s">
        <v>540</v>
      </c>
      <c r="M6" s="22" t="s">
        <v>541</v>
      </c>
      <c r="N6" s="18">
        <v>225</v>
      </c>
      <c r="O6" s="18">
        <v>96</v>
      </c>
    </row>
    <row r="7" spans="1:15" x14ac:dyDescent="0.25">
      <c r="A7" s="18">
        <v>6</v>
      </c>
      <c r="B7" s="19" t="s">
        <v>39</v>
      </c>
      <c r="C7" s="20"/>
      <c r="D7" s="21" t="s">
        <v>41</v>
      </c>
      <c r="E7" s="21" t="s">
        <v>551</v>
      </c>
      <c r="F7" s="22" t="s">
        <v>30</v>
      </c>
      <c r="G7" s="22">
        <v>181</v>
      </c>
      <c r="H7" s="22">
        <v>25</v>
      </c>
      <c r="I7" s="23">
        <v>45005</v>
      </c>
      <c r="J7" s="22" t="s">
        <v>539</v>
      </c>
      <c r="K7" s="22" t="s">
        <v>297</v>
      </c>
      <c r="L7" s="22" t="s">
        <v>540</v>
      </c>
      <c r="M7" s="22" t="s">
        <v>549</v>
      </c>
      <c r="N7" s="18">
        <v>481</v>
      </c>
      <c r="O7" s="18">
        <v>2940</v>
      </c>
    </row>
    <row r="8" spans="1:15" x14ac:dyDescent="0.25">
      <c r="A8" s="18">
        <v>7</v>
      </c>
      <c r="B8" s="19" t="s">
        <v>42</v>
      </c>
      <c r="C8" s="20"/>
      <c r="D8" s="21" t="s">
        <v>45</v>
      </c>
      <c r="E8" s="21" t="s">
        <v>552</v>
      </c>
      <c r="F8" s="22" t="s">
        <v>17</v>
      </c>
      <c r="G8" s="22">
        <v>153</v>
      </c>
      <c r="H8" s="22">
        <v>13</v>
      </c>
      <c r="I8" s="23">
        <v>45157</v>
      </c>
      <c r="J8" s="22" t="s">
        <v>539</v>
      </c>
      <c r="K8" s="22" t="s">
        <v>479</v>
      </c>
      <c r="L8" s="22" t="s">
        <v>540</v>
      </c>
      <c r="M8" s="22" t="s">
        <v>553</v>
      </c>
      <c r="N8" s="18">
        <v>765</v>
      </c>
      <c r="O8" s="18">
        <v>3200</v>
      </c>
    </row>
    <row r="9" spans="1:15" x14ac:dyDescent="0.25">
      <c r="A9" s="18">
        <v>8</v>
      </c>
      <c r="B9" s="19" t="s">
        <v>46</v>
      </c>
      <c r="C9" s="20"/>
      <c r="D9" s="21" t="s">
        <v>49</v>
      </c>
      <c r="E9" s="21" t="s">
        <v>554</v>
      </c>
      <c r="F9" s="22" t="s">
        <v>17</v>
      </c>
      <c r="G9" s="22">
        <v>173</v>
      </c>
      <c r="H9" s="22" t="s">
        <v>475</v>
      </c>
      <c r="I9" s="23">
        <v>45086</v>
      </c>
      <c r="J9" s="22" t="s">
        <v>539</v>
      </c>
      <c r="K9" s="22" t="s">
        <v>297</v>
      </c>
      <c r="L9" s="22" t="s">
        <v>540</v>
      </c>
      <c r="M9" s="22" t="s">
        <v>555</v>
      </c>
      <c r="N9" s="18">
        <v>712</v>
      </c>
      <c r="O9" s="18">
        <v>6580</v>
      </c>
    </row>
    <row r="10" spans="1:15" x14ac:dyDescent="0.25">
      <c r="A10" s="18">
        <v>9</v>
      </c>
      <c r="B10" s="19" t="s">
        <v>50</v>
      </c>
      <c r="C10" s="20"/>
      <c r="D10" s="21" t="s">
        <v>53</v>
      </c>
      <c r="E10" s="21" t="s">
        <v>556</v>
      </c>
      <c r="F10" s="22" t="s">
        <v>17</v>
      </c>
      <c r="G10" s="22">
        <v>179</v>
      </c>
      <c r="H10" s="22" t="s">
        <v>475</v>
      </c>
      <c r="I10" s="23">
        <v>45188</v>
      </c>
      <c r="J10" s="22" t="s">
        <v>539</v>
      </c>
      <c r="K10" s="22" t="s">
        <v>297</v>
      </c>
      <c r="L10" s="22" t="s">
        <v>540</v>
      </c>
      <c r="M10" s="22" t="s">
        <v>557</v>
      </c>
      <c r="N10" s="18">
        <v>254</v>
      </c>
      <c r="O10" s="18">
        <v>125</v>
      </c>
    </row>
    <row r="11" spans="1:15" x14ac:dyDescent="0.25">
      <c r="A11" s="18">
        <v>10</v>
      </c>
      <c r="B11" s="19" t="s">
        <v>54</v>
      </c>
      <c r="C11" s="20"/>
      <c r="D11" s="21" t="s">
        <v>56</v>
      </c>
      <c r="E11" s="21" t="s">
        <v>558</v>
      </c>
      <c r="F11" s="22" t="s">
        <v>30</v>
      </c>
      <c r="G11" s="22">
        <v>148</v>
      </c>
      <c r="H11" s="22">
        <v>14</v>
      </c>
      <c r="I11" s="23">
        <v>44944</v>
      </c>
      <c r="J11" s="22" t="s">
        <v>539</v>
      </c>
      <c r="K11" s="22" t="s">
        <v>480</v>
      </c>
      <c r="L11" s="22" t="s">
        <v>540</v>
      </c>
      <c r="M11" s="22" t="s">
        <v>559</v>
      </c>
      <c r="N11" s="18">
        <v>175</v>
      </c>
      <c r="O11" s="18">
        <v>43</v>
      </c>
    </row>
    <row r="12" spans="1:15" x14ac:dyDescent="0.25">
      <c r="A12" s="18">
        <v>11</v>
      </c>
      <c r="B12" s="19" t="s">
        <v>57</v>
      </c>
      <c r="C12" s="20"/>
      <c r="D12" s="21" t="s">
        <v>59</v>
      </c>
      <c r="E12" s="21" t="s">
        <v>560</v>
      </c>
      <c r="F12" s="22" t="s">
        <v>30</v>
      </c>
      <c r="G12" s="22">
        <v>140</v>
      </c>
      <c r="H12" s="22">
        <v>12</v>
      </c>
      <c r="I12" s="23">
        <v>45173</v>
      </c>
      <c r="J12" s="22" t="s">
        <v>539</v>
      </c>
      <c r="K12" s="22" t="s">
        <v>481</v>
      </c>
      <c r="L12" s="22" t="s">
        <v>540</v>
      </c>
      <c r="M12" s="22" t="s">
        <v>549</v>
      </c>
      <c r="N12" s="18">
        <v>383</v>
      </c>
      <c r="O12" s="18">
        <v>2130</v>
      </c>
    </row>
    <row r="13" spans="1:15" x14ac:dyDescent="0.25">
      <c r="A13" s="18">
        <v>12</v>
      </c>
      <c r="B13" s="19" t="s">
        <v>60</v>
      </c>
      <c r="C13" s="20"/>
      <c r="D13" s="21" t="s">
        <v>63</v>
      </c>
      <c r="E13" s="21" t="s">
        <v>561</v>
      </c>
      <c r="F13" s="22" t="s">
        <v>30</v>
      </c>
      <c r="G13" s="22">
        <v>165</v>
      </c>
      <c r="H13" s="22" t="s">
        <v>475</v>
      </c>
      <c r="I13" s="23">
        <v>44966</v>
      </c>
      <c r="J13" s="22" t="s">
        <v>539</v>
      </c>
      <c r="K13" s="22" t="s">
        <v>482</v>
      </c>
      <c r="L13" s="22" t="s">
        <v>540</v>
      </c>
      <c r="M13" s="22" t="s">
        <v>562</v>
      </c>
      <c r="N13" s="18">
        <v>824</v>
      </c>
      <c r="O13" s="18">
        <v>5710</v>
      </c>
    </row>
    <row r="14" spans="1:15" x14ac:dyDescent="0.25">
      <c r="A14" s="18">
        <v>13</v>
      </c>
      <c r="B14" s="19" t="s">
        <v>64</v>
      </c>
      <c r="C14" s="20"/>
      <c r="D14" s="21" t="s">
        <v>67</v>
      </c>
      <c r="E14" s="21" t="s">
        <v>563</v>
      </c>
      <c r="F14" s="22" t="s">
        <v>30</v>
      </c>
      <c r="G14" s="22">
        <v>147</v>
      </c>
      <c r="H14" s="22">
        <v>15</v>
      </c>
      <c r="I14" s="23">
        <v>44948</v>
      </c>
      <c r="J14" s="22" t="s">
        <v>539</v>
      </c>
      <c r="K14" s="22" t="s">
        <v>297</v>
      </c>
      <c r="L14" s="22" t="s">
        <v>540</v>
      </c>
      <c r="M14" s="22" t="s">
        <v>541</v>
      </c>
      <c r="N14" s="18">
        <v>811</v>
      </c>
      <c r="O14" s="18">
        <v>2120</v>
      </c>
    </row>
    <row r="15" spans="1:15" x14ac:dyDescent="0.25">
      <c r="A15" s="18">
        <v>14</v>
      </c>
      <c r="B15" s="19" t="s">
        <v>68</v>
      </c>
      <c r="C15" s="20"/>
      <c r="D15" s="21" t="s">
        <v>70</v>
      </c>
      <c r="E15" s="21" t="s">
        <v>564</v>
      </c>
      <c r="F15" s="22" t="s">
        <v>30</v>
      </c>
      <c r="G15" s="22">
        <v>161</v>
      </c>
      <c r="H15" s="22">
        <v>18</v>
      </c>
      <c r="I15" s="23">
        <v>45029</v>
      </c>
      <c r="J15" s="22" t="s">
        <v>539</v>
      </c>
      <c r="K15" s="22" t="s">
        <v>483</v>
      </c>
      <c r="L15" s="22" t="s">
        <v>540</v>
      </c>
      <c r="M15" s="22" t="s">
        <v>565</v>
      </c>
      <c r="N15" s="18">
        <v>232</v>
      </c>
      <c r="O15" s="18">
        <v>253</v>
      </c>
    </row>
    <row r="16" spans="1:15" x14ac:dyDescent="0.25">
      <c r="A16" s="18">
        <v>15</v>
      </c>
      <c r="B16" s="19" t="s">
        <v>71</v>
      </c>
      <c r="C16" s="20"/>
      <c r="D16" s="21" t="s">
        <v>73</v>
      </c>
      <c r="E16" s="21" t="s">
        <v>566</v>
      </c>
      <c r="F16" s="22" t="s">
        <v>30</v>
      </c>
      <c r="G16" s="22">
        <v>163</v>
      </c>
      <c r="H16" s="22">
        <v>25</v>
      </c>
      <c r="I16" s="23">
        <v>45055</v>
      </c>
      <c r="J16" s="22" t="s">
        <v>539</v>
      </c>
      <c r="K16" s="22" t="s">
        <v>297</v>
      </c>
      <c r="L16" s="22" t="s">
        <v>540</v>
      </c>
      <c r="M16" s="22" t="s">
        <v>567</v>
      </c>
      <c r="N16" s="18">
        <v>618</v>
      </c>
      <c r="O16" s="18">
        <v>4160</v>
      </c>
    </row>
    <row r="17" spans="1:15" x14ac:dyDescent="0.25">
      <c r="A17" s="18">
        <v>16</v>
      </c>
      <c r="B17" s="19" t="s">
        <v>74</v>
      </c>
      <c r="C17" s="20"/>
      <c r="D17" s="21" t="s">
        <v>76</v>
      </c>
      <c r="E17" s="21" t="s">
        <v>568</v>
      </c>
      <c r="F17" s="22" t="s">
        <v>30</v>
      </c>
      <c r="G17" s="22">
        <v>153</v>
      </c>
      <c r="H17" s="22">
        <v>15</v>
      </c>
      <c r="I17" s="23">
        <v>45052</v>
      </c>
      <c r="J17" s="22" t="s">
        <v>539</v>
      </c>
      <c r="K17" s="22" t="s">
        <v>484</v>
      </c>
      <c r="L17" s="22" t="s">
        <v>540</v>
      </c>
      <c r="M17" s="22" t="s">
        <v>541</v>
      </c>
      <c r="N17" s="18">
        <v>313</v>
      </c>
      <c r="O17" s="18">
        <v>923</v>
      </c>
    </row>
    <row r="18" spans="1:15" x14ac:dyDescent="0.25">
      <c r="A18" s="18">
        <v>17</v>
      </c>
      <c r="B18" s="19" t="s">
        <v>77</v>
      </c>
      <c r="C18" s="20"/>
      <c r="D18" s="21" t="s">
        <v>79</v>
      </c>
      <c r="E18" s="21" t="s">
        <v>569</v>
      </c>
      <c r="F18" s="22" t="s">
        <v>30</v>
      </c>
      <c r="G18" s="22">
        <v>167</v>
      </c>
      <c r="H18" s="22">
        <v>24</v>
      </c>
      <c r="I18" s="23">
        <v>45280</v>
      </c>
      <c r="J18" s="22" t="s">
        <v>539</v>
      </c>
      <c r="K18" s="22" t="s">
        <v>297</v>
      </c>
      <c r="L18" s="22" t="s">
        <v>540</v>
      </c>
      <c r="M18" s="22" t="s">
        <v>570</v>
      </c>
      <c r="N18" s="18">
        <v>467</v>
      </c>
      <c r="O18" s="18">
        <v>2630</v>
      </c>
    </row>
    <row r="19" spans="1:15" x14ac:dyDescent="0.25">
      <c r="A19" s="18">
        <v>18</v>
      </c>
      <c r="B19" s="19" t="s">
        <v>80</v>
      </c>
      <c r="C19" s="20"/>
      <c r="D19" s="21" t="s">
        <v>82</v>
      </c>
      <c r="E19" s="24" t="s">
        <v>571</v>
      </c>
      <c r="F19" s="22" t="s">
        <v>30</v>
      </c>
      <c r="G19" s="22">
        <v>163</v>
      </c>
      <c r="H19" s="22">
        <v>23</v>
      </c>
      <c r="I19" s="23">
        <v>44935</v>
      </c>
      <c r="J19" s="22" t="s">
        <v>539</v>
      </c>
      <c r="K19" s="22" t="s">
        <v>297</v>
      </c>
      <c r="L19" s="22" t="s">
        <v>540</v>
      </c>
      <c r="M19" s="25" t="s">
        <v>572</v>
      </c>
      <c r="N19" s="26">
        <v>644</v>
      </c>
      <c r="O19" s="26">
        <v>104</v>
      </c>
    </row>
    <row r="20" spans="1:15" x14ac:dyDescent="0.25">
      <c r="A20" s="18">
        <v>19</v>
      </c>
      <c r="B20" s="19" t="s">
        <v>83</v>
      </c>
      <c r="C20" s="20"/>
      <c r="D20" s="21" t="s">
        <v>85</v>
      </c>
      <c r="E20" s="21" t="s">
        <v>573</v>
      </c>
      <c r="F20" s="22" t="s">
        <v>17</v>
      </c>
      <c r="G20" s="22">
        <v>165</v>
      </c>
      <c r="H20" s="22">
        <v>25</v>
      </c>
      <c r="I20" s="23">
        <v>45116</v>
      </c>
      <c r="J20" s="22" t="s">
        <v>539</v>
      </c>
      <c r="K20" s="22" t="s">
        <v>297</v>
      </c>
      <c r="L20" s="22" t="s">
        <v>540</v>
      </c>
      <c r="M20" s="22" t="s">
        <v>574</v>
      </c>
      <c r="N20" s="18" t="s">
        <v>575</v>
      </c>
      <c r="O20" s="18">
        <v>9920</v>
      </c>
    </row>
    <row r="21" spans="1:15" x14ac:dyDescent="0.25">
      <c r="A21" s="18">
        <v>20</v>
      </c>
      <c r="B21" s="19" t="s">
        <v>86</v>
      </c>
      <c r="C21" s="20"/>
      <c r="D21" s="21" t="s">
        <v>88</v>
      </c>
      <c r="E21" s="21" t="s">
        <v>576</v>
      </c>
      <c r="F21" s="22" t="s">
        <v>17</v>
      </c>
      <c r="G21" s="22">
        <v>166</v>
      </c>
      <c r="H21" s="22">
        <v>16</v>
      </c>
      <c r="I21" s="23">
        <v>45039</v>
      </c>
      <c r="J21" s="22" t="s">
        <v>539</v>
      </c>
      <c r="K21" s="22" t="s">
        <v>485</v>
      </c>
      <c r="L21" s="22" t="s">
        <v>540</v>
      </c>
      <c r="M21" s="22" t="s">
        <v>577</v>
      </c>
      <c r="N21" s="18">
        <v>1488</v>
      </c>
      <c r="O21" s="18">
        <v>42600</v>
      </c>
    </row>
    <row r="22" spans="1:15" x14ac:dyDescent="0.25">
      <c r="A22" s="18">
        <v>21</v>
      </c>
      <c r="B22" s="19" t="s">
        <v>89</v>
      </c>
      <c r="C22" s="20"/>
      <c r="D22" s="21" t="s">
        <v>91</v>
      </c>
      <c r="E22" s="21" t="s">
        <v>578</v>
      </c>
      <c r="F22" s="22" t="s">
        <v>17</v>
      </c>
      <c r="G22" s="22">
        <v>151</v>
      </c>
      <c r="H22" s="22">
        <v>15</v>
      </c>
      <c r="I22" s="23">
        <v>45178</v>
      </c>
      <c r="J22" s="22" t="s">
        <v>539</v>
      </c>
      <c r="K22" s="22" t="s">
        <v>483</v>
      </c>
      <c r="L22" s="22" t="s">
        <v>540</v>
      </c>
      <c r="M22" s="22" t="s">
        <v>555</v>
      </c>
      <c r="N22" s="18">
        <v>666</v>
      </c>
      <c r="O22" s="18">
        <v>4510</v>
      </c>
    </row>
    <row r="23" spans="1:15" x14ac:dyDescent="0.25">
      <c r="A23" s="18">
        <v>22</v>
      </c>
      <c r="B23" s="19" t="s">
        <v>92</v>
      </c>
      <c r="C23" s="20"/>
      <c r="D23" s="21" t="s">
        <v>94</v>
      </c>
      <c r="E23" s="21" t="s">
        <v>579</v>
      </c>
      <c r="F23" s="22" t="s">
        <v>17</v>
      </c>
      <c r="G23" s="22">
        <v>187</v>
      </c>
      <c r="H23" s="22">
        <v>37</v>
      </c>
      <c r="I23" s="23">
        <v>45287</v>
      </c>
      <c r="J23" s="22" t="s">
        <v>539</v>
      </c>
      <c r="K23" s="22" t="s">
        <v>297</v>
      </c>
      <c r="L23" s="22" t="s">
        <v>540</v>
      </c>
      <c r="M23" s="22" t="s">
        <v>559</v>
      </c>
      <c r="N23" s="18">
        <v>559</v>
      </c>
      <c r="O23" s="18">
        <v>3810</v>
      </c>
    </row>
    <row r="24" spans="1:15" x14ac:dyDescent="0.25">
      <c r="A24" s="18">
        <v>23</v>
      </c>
      <c r="B24" s="19" t="s">
        <v>95</v>
      </c>
      <c r="C24" s="20"/>
      <c r="D24" s="21" t="s">
        <v>97</v>
      </c>
      <c r="E24" s="21" t="s">
        <v>580</v>
      </c>
      <c r="F24" s="22" t="s">
        <v>30</v>
      </c>
      <c r="G24" s="22">
        <v>160</v>
      </c>
      <c r="H24" s="22" t="s">
        <v>475</v>
      </c>
      <c r="I24" s="23">
        <v>45088</v>
      </c>
      <c r="J24" s="22" t="s">
        <v>539</v>
      </c>
      <c r="K24" s="22" t="s">
        <v>297</v>
      </c>
      <c r="L24" s="22" t="s">
        <v>540</v>
      </c>
      <c r="M24" s="22" t="s">
        <v>581</v>
      </c>
      <c r="N24" s="18">
        <v>238</v>
      </c>
      <c r="O24" s="18">
        <v>536</v>
      </c>
    </row>
    <row r="25" spans="1:15" x14ac:dyDescent="0.25">
      <c r="A25" s="18">
        <v>24</v>
      </c>
      <c r="B25" s="19" t="s">
        <v>98</v>
      </c>
      <c r="C25" s="20"/>
      <c r="D25" s="21" t="s">
        <v>100</v>
      </c>
      <c r="E25" s="21" t="s">
        <v>582</v>
      </c>
      <c r="F25" s="22" t="s">
        <v>30</v>
      </c>
      <c r="G25" s="22">
        <v>162</v>
      </c>
      <c r="H25" s="22">
        <v>20</v>
      </c>
      <c r="I25" s="23">
        <v>45044</v>
      </c>
      <c r="J25" s="22" t="s">
        <v>539</v>
      </c>
      <c r="K25" s="22" t="s">
        <v>297</v>
      </c>
      <c r="L25" s="22" t="s">
        <v>540</v>
      </c>
      <c r="M25" s="22" t="s">
        <v>553</v>
      </c>
      <c r="N25" s="18">
        <v>493</v>
      </c>
      <c r="O25" s="18">
        <v>3300</v>
      </c>
    </row>
    <row r="26" spans="1:15" x14ac:dyDescent="0.25">
      <c r="A26" s="18">
        <v>25</v>
      </c>
      <c r="B26" s="19" t="s">
        <v>101</v>
      </c>
      <c r="C26" s="20"/>
      <c r="D26" s="21" t="s">
        <v>103</v>
      </c>
      <c r="E26" s="21" t="s">
        <v>583</v>
      </c>
      <c r="F26" s="22" t="s">
        <v>17</v>
      </c>
      <c r="G26" s="22">
        <v>182</v>
      </c>
      <c r="H26" s="22">
        <v>24</v>
      </c>
      <c r="I26" s="23">
        <v>45057</v>
      </c>
      <c r="J26" s="22" t="s">
        <v>539</v>
      </c>
      <c r="K26" s="22" t="s">
        <v>297</v>
      </c>
      <c r="L26" s="22" t="s">
        <v>540</v>
      </c>
      <c r="M26" s="22" t="s">
        <v>584</v>
      </c>
      <c r="N26" s="18">
        <v>182</v>
      </c>
      <c r="O26" s="18">
        <v>2220</v>
      </c>
    </row>
    <row r="27" spans="1:15" x14ac:dyDescent="0.25">
      <c r="A27" s="18">
        <v>26</v>
      </c>
      <c r="B27" s="19" t="s">
        <v>104</v>
      </c>
      <c r="C27" s="20"/>
      <c r="D27" s="21" t="s">
        <v>106</v>
      </c>
      <c r="E27" s="21" t="s">
        <v>585</v>
      </c>
      <c r="F27" s="22" t="s">
        <v>17</v>
      </c>
      <c r="G27" s="22">
        <v>195</v>
      </c>
      <c r="H27" s="22">
        <v>41</v>
      </c>
      <c r="I27" s="23">
        <v>45259</v>
      </c>
      <c r="J27" s="22" t="s">
        <v>539</v>
      </c>
      <c r="K27" s="22" t="s">
        <v>486</v>
      </c>
      <c r="L27" s="22" t="s">
        <v>540</v>
      </c>
      <c r="M27" s="22" t="s">
        <v>555</v>
      </c>
      <c r="N27" s="18">
        <v>1241</v>
      </c>
      <c r="O27" s="18">
        <v>26600</v>
      </c>
    </row>
    <row r="28" spans="1:15" x14ac:dyDescent="0.25">
      <c r="A28" s="18">
        <v>27</v>
      </c>
      <c r="B28" s="19" t="s">
        <v>107</v>
      </c>
      <c r="C28" s="20"/>
      <c r="D28" s="21" t="s">
        <v>109</v>
      </c>
      <c r="E28" s="21" t="s">
        <v>586</v>
      </c>
      <c r="F28" s="22" t="s">
        <v>17</v>
      </c>
      <c r="G28" s="18">
        <v>170</v>
      </c>
      <c r="H28" s="18">
        <v>18</v>
      </c>
      <c r="I28" s="23">
        <v>45265</v>
      </c>
      <c r="J28" s="22" t="s">
        <v>539</v>
      </c>
      <c r="K28" s="22" t="s">
        <v>297</v>
      </c>
      <c r="L28" s="22" t="s">
        <v>540</v>
      </c>
      <c r="M28" s="22" t="s">
        <v>587</v>
      </c>
      <c r="N28" s="18">
        <v>360</v>
      </c>
      <c r="O28" s="18">
        <v>1370</v>
      </c>
    </row>
    <row r="29" spans="1:15" x14ac:dyDescent="0.25">
      <c r="A29" s="18">
        <v>28</v>
      </c>
      <c r="B29" s="19" t="s">
        <v>110</v>
      </c>
      <c r="C29" s="20"/>
      <c r="D29" s="21" t="s">
        <v>112</v>
      </c>
      <c r="E29" s="21" t="s">
        <v>588</v>
      </c>
      <c r="F29" s="22" t="s">
        <v>17</v>
      </c>
      <c r="G29" s="18">
        <v>180</v>
      </c>
      <c r="H29" s="18" t="s">
        <v>475</v>
      </c>
      <c r="I29" s="23">
        <v>44996</v>
      </c>
      <c r="J29" s="22" t="s">
        <v>539</v>
      </c>
      <c r="K29" s="22" t="s">
        <v>487</v>
      </c>
      <c r="L29" s="22" t="s">
        <v>540</v>
      </c>
      <c r="M29" s="22" t="s">
        <v>581</v>
      </c>
      <c r="N29" s="18">
        <v>588</v>
      </c>
      <c r="O29" s="18">
        <v>3570</v>
      </c>
    </row>
    <row r="30" spans="1:15" x14ac:dyDescent="0.25">
      <c r="A30" s="18">
        <v>29</v>
      </c>
      <c r="B30" s="19" t="s">
        <v>113</v>
      </c>
      <c r="C30" s="20"/>
      <c r="D30" s="21" t="s">
        <v>115</v>
      </c>
      <c r="E30" s="21" t="s">
        <v>589</v>
      </c>
      <c r="F30" s="22" t="s">
        <v>30</v>
      </c>
      <c r="G30" s="18">
        <v>170</v>
      </c>
      <c r="H30" s="18">
        <v>21</v>
      </c>
      <c r="I30" s="23">
        <v>45204</v>
      </c>
      <c r="J30" s="22" t="s">
        <v>539</v>
      </c>
      <c r="K30" s="22" t="s">
        <v>297</v>
      </c>
      <c r="L30" s="22" t="s">
        <v>540</v>
      </c>
      <c r="M30" s="22" t="s">
        <v>562</v>
      </c>
      <c r="N30" s="18" t="s">
        <v>590</v>
      </c>
      <c r="O30" s="18">
        <v>34300</v>
      </c>
    </row>
    <row r="31" spans="1:15" x14ac:dyDescent="0.25">
      <c r="A31" s="18">
        <v>30</v>
      </c>
      <c r="B31" s="19" t="s">
        <v>116</v>
      </c>
      <c r="C31" s="20"/>
      <c r="D31" s="21" t="s">
        <v>118</v>
      </c>
      <c r="E31" s="21" t="s">
        <v>591</v>
      </c>
      <c r="F31" s="22" t="s">
        <v>17</v>
      </c>
      <c r="G31" s="18">
        <v>178</v>
      </c>
      <c r="H31" s="18">
        <v>25</v>
      </c>
      <c r="I31" s="23">
        <v>44955</v>
      </c>
      <c r="J31" s="22" t="s">
        <v>539</v>
      </c>
      <c r="K31" s="22" t="s">
        <v>488</v>
      </c>
      <c r="L31" s="22" t="s">
        <v>540</v>
      </c>
      <c r="M31" s="22" t="s">
        <v>562</v>
      </c>
      <c r="N31" s="18" t="s">
        <v>592</v>
      </c>
      <c r="O31" s="18">
        <v>12600</v>
      </c>
    </row>
    <row r="32" spans="1:15" x14ac:dyDescent="0.25">
      <c r="A32" s="18">
        <v>31</v>
      </c>
      <c r="B32" s="19" t="s">
        <v>119</v>
      </c>
      <c r="C32" s="20"/>
      <c r="D32" s="21" t="s">
        <v>121</v>
      </c>
      <c r="E32" s="21" t="s">
        <v>593</v>
      </c>
      <c r="F32" s="22" t="s">
        <v>17</v>
      </c>
      <c r="G32" s="22">
        <v>176</v>
      </c>
      <c r="H32" s="22">
        <v>36</v>
      </c>
      <c r="I32" s="23">
        <v>45209</v>
      </c>
      <c r="J32" s="22" t="s">
        <v>539</v>
      </c>
      <c r="K32" s="22" t="s">
        <v>297</v>
      </c>
      <c r="L32" s="22" t="s">
        <v>540</v>
      </c>
      <c r="M32" s="22" t="s">
        <v>562</v>
      </c>
      <c r="N32" s="18">
        <v>904</v>
      </c>
      <c r="O32" s="18">
        <v>7810</v>
      </c>
    </row>
    <row r="33" spans="1:15" x14ac:dyDescent="0.25">
      <c r="A33" s="18">
        <v>32</v>
      </c>
      <c r="B33" s="19" t="s">
        <v>122</v>
      </c>
      <c r="C33" s="20"/>
      <c r="D33" s="21" t="s">
        <v>125</v>
      </c>
      <c r="E33" s="21" t="s">
        <v>594</v>
      </c>
      <c r="F33" s="22" t="s">
        <v>30</v>
      </c>
      <c r="G33" s="22">
        <v>186</v>
      </c>
      <c r="H33" s="22" t="s">
        <v>475</v>
      </c>
      <c r="I33" s="23">
        <v>45248</v>
      </c>
      <c r="J33" s="22" t="s">
        <v>539</v>
      </c>
      <c r="K33" s="22" t="s">
        <v>297</v>
      </c>
      <c r="L33" s="22" t="s">
        <v>540</v>
      </c>
      <c r="M33" s="22" t="s">
        <v>557</v>
      </c>
      <c r="N33" s="18">
        <v>1207</v>
      </c>
      <c r="O33" s="18">
        <v>0</v>
      </c>
    </row>
    <row r="34" spans="1:15" x14ac:dyDescent="0.25">
      <c r="A34" s="18">
        <v>33</v>
      </c>
      <c r="B34" s="19" t="s">
        <v>126</v>
      </c>
      <c r="C34" s="20"/>
      <c r="D34" s="21" t="s">
        <v>128</v>
      </c>
      <c r="E34" s="21" t="s">
        <v>595</v>
      </c>
      <c r="F34" s="22" t="s">
        <v>17</v>
      </c>
      <c r="G34" s="22">
        <v>178</v>
      </c>
      <c r="H34" s="22">
        <v>22</v>
      </c>
      <c r="I34" s="23">
        <v>45267</v>
      </c>
      <c r="J34" s="22" t="s">
        <v>539</v>
      </c>
      <c r="K34" s="22" t="s">
        <v>489</v>
      </c>
      <c r="L34" s="22" t="s">
        <v>540</v>
      </c>
      <c r="M34" s="22" t="s">
        <v>555</v>
      </c>
      <c r="N34" s="18">
        <v>1378</v>
      </c>
      <c r="O34" s="18">
        <v>30900</v>
      </c>
    </row>
    <row r="35" spans="1:15" x14ac:dyDescent="0.25">
      <c r="A35" s="18">
        <v>34</v>
      </c>
      <c r="B35" s="19" t="s">
        <v>129</v>
      </c>
      <c r="C35" s="20"/>
      <c r="D35" s="21" t="s">
        <v>131</v>
      </c>
      <c r="E35" s="21" t="s">
        <v>596</v>
      </c>
      <c r="F35" s="22" t="s">
        <v>30</v>
      </c>
      <c r="G35" s="22">
        <v>152</v>
      </c>
      <c r="H35" s="22" t="s">
        <v>475</v>
      </c>
      <c r="I35" s="23">
        <v>44966</v>
      </c>
      <c r="J35" s="22" t="s">
        <v>539</v>
      </c>
      <c r="K35" s="22" t="s">
        <v>297</v>
      </c>
      <c r="L35" s="22" t="s">
        <v>540</v>
      </c>
      <c r="M35" s="22" t="s">
        <v>597</v>
      </c>
      <c r="N35" s="18">
        <v>836</v>
      </c>
      <c r="O35" s="18">
        <v>4360</v>
      </c>
    </row>
    <row r="36" spans="1:15" x14ac:dyDescent="0.25">
      <c r="A36" s="18">
        <v>35</v>
      </c>
      <c r="B36" s="19" t="s">
        <v>132</v>
      </c>
      <c r="C36" s="20"/>
      <c r="D36" s="21" t="s">
        <v>134</v>
      </c>
      <c r="E36" s="21" t="s">
        <v>598</v>
      </c>
      <c r="F36" s="22" t="s">
        <v>30</v>
      </c>
      <c r="G36" s="22">
        <v>160</v>
      </c>
      <c r="H36" s="22">
        <v>23</v>
      </c>
      <c r="I36" s="23">
        <v>45083</v>
      </c>
      <c r="J36" s="22" t="s">
        <v>539</v>
      </c>
      <c r="K36" s="22" t="s">
        <v>297</v>
      </c>
      <c r="L36" s="22" t="s">
        <v>540</v>
      </c>
      <c r="M36" s="22" t="s">
        <v>555</v>
      </c>
      <c r="N36" s="18">
        <v>632</v>
      </c>
      <c r="O36" s="18">
        <v>3890</v>
      </c>
    </row>
    <row r="37" spans="1:15" x14ac:dyDescent="0.25">
      <c r="A37" s="18">
        <v>36</v>
      </c>
      <c r="B37" s="19" t="s">
        <v>135</v>
      </c>
      <c r="C37" s="20"/>
      <c r="D37" s="21" t="s">
        <v>137</v>
      </c>
      <c r="E37" s="21" t="s">
        <v>599</v>
      </c>
      <c r="F37" s="22" t="s">
        <v>30</v>
      </c>
      <c r="G37" s="22">
        <v>166</v>
      </c>
      <c r="H37" s="22">
        <v>16</v>
      </c>
      <c r="I37" s="23">
        <v>45097</v>
      </c>
      <c r="J37" s="22" t="s">
        <v>539</v>
      </c>
      <c r="K37" s="22" t="s">
        <v>297</v>
      </c>
      <c r="L37" s="22" t="s">
        <v>540</v>
      </c>
      <c r="M37" s="22" t="s">
        <v>584</v>
      </c>
      <c r="N37" s="18">
        <v>352</v>
      </c>
      <c r="O37" s="18">
        <v>156</v>
      </c>
    </row>
    <row r="38" spans="1:15" x14ac:dyDescent="0.25">
      <c r="A38" s="18">
        <v>37</v>
      </c>
      <c r="B38" s="19" t="s">
        <v>138</v>
      </c>
      <c r="C38" s="20"/>
      <c r="D38" s="21" t="s">
        <v>140</v>
      </c>
      <c r="E38" s="21" t="s">
        <v>600</v>
      </c>
      <c r="F38" s="22" t="s">
        <v>17</v>
      </c>
      <c r="G38" s="22">
        <v>174</v>
      </c>
      <c r="H38" s="22">
        <v>18</v>
      </c>
      <c r="I38" s="23">
        <v>45241</v>
      </c>
      <c r="J38" s="22" t="s">
        <v>539</v>
      </c>
      <c r="K38" s="22" t="s">
        <v>490</v>
      </c>
      <c r="L38" s="22" t="s">
        <v>540</v>
      </c>
      <c r="M38" s="22" t="s">
        <v>601</v>
      </c>
      <c r="N38" s="18">
        <v>743</v>
      </c>
      <c r="O38" s="18">
        <v>133</v>
      </c>
    </row>
    <row r="39" spans="1:15" x14ac:dyDescent="0.25">
      <c r="A39" s="18">
        <v>38</v>
      </c>
      <c r="B39" s="19" t="s">
        <v>141</v>
      </c>
      <c r="C39" s="20"/>
      <c r="D39" s="21" t="s">
        <v>143</v>
      </c>
      <c r="E39" s="21" t="s">
        <v>602</v>
      </c>
      <c r="F39" s="22" t="s">
        <v>30</v>
      </c>
      <c r="G39" s="22">
        <v>144</v>
      </c>
      <c r="H39" s="22">
        <v>15</v>
      </c>
      <c r="I39" s="23">
        <v>45064</v>
      </c>
      <c r="J39" s="22" t="s">
        <v>539</v>
      </c>
      <c r="K39" s="22" t="s">
        <v>491</v>
      </c>
      <c r="L39" s="22" t="s">
        <v>540</v>
      </c>
      <c r="M39" s="22" t="s">
        <v>553</v>
      </c>
      <c r="N39" s="18">
        <v>144</v>
      </c>
      <c r="O39" s="18">
        <v>127</v>
      </c>
    </row>
    <row r="40" spans="1:15" x14ac:dyDescent="0.25">
      <c r="A40" s="18">
        <v>39</v>
      </c>
      <c r="B40" s="19" t="s">
        <v>144</v>
      </c>
      <c r="C40" s="20"/>
      <c r="D40" s="21" t="s">
        <v>147</v>
      </c>
      <c r="E40" s="21" t="s">
        <v>603</v>
      </c>
      <c r="F40" s="22" t="s">
        <v>17</v>
      </c>
      <c r="G40" s="22">
        <v>163</v>
      </c>
      <c r="H40" s="22">
        <v>17</v>
      </c>
      <c r="I40" s="23">
        <v>44991</v>
      </c>
      <c r="J40" s="22" t="s">
        <v>539</v>
      </c>
      <c r="K40" s="22" t="s">
        <v>297</v>
      </c>
      <c r="L40" s="22" t="s">
        <v>540</v>
      </c>
      <c r="M40" s="22" t="s">
        <v>559</v>
      </c>
      <c r="N40" s="18">
        <v>1629</v>
      </c>
      <c r="O40" s="18">
        <v>38800</v>
      </c>
    </row>
    <row r="41" spans="1:15" x14ac:dyDescent="0.25">
      <c r="A41" s="18">
        <v>40</v>
      </c>
      <c r="B41" s="19" t="s">
        <v>148</v>
      </c>
      <c r="C41" s="20"/>
      <c r="D41" s="21" t="s">
        <v>150</v>
      </c>
      <c r="E41" s="21" t="s">
        <v>604</v>
      </c>
      <c r="F41" s="22" t="s">
        <v>17</v>
      </c>
      <c r="G41" s="22">
        <v>190</v>
      </c>
      <c r="H41" s="22">
        <v>18</v>
      </c>
      <c r="I41" s="23">
        <v>45070</v>
      </c>
      <c r="J41" s="22" t="s">
        <v>539</v>
      </c>
      <c r="K41" s="22" t="s">
        <v>492</v>
      </c>
      <c r="L41" s="22" t="s">
        <v>540</v>
      </c>
      <c r="M41" s="22" t="s">
        <v>601</v>
      </c>
      <c r="N41" s="18">
        <v>449</v>
      </c>
      <c r="O41" s="18">
        <v>3570</v>
      </c>
    </row>
    <row r="42" spans="1:15" x14ac:dyDescent="0.25">
      <c r="A42" s="18">
        <v>41</v>
      </c>
      <c r="B42" s="19" t="s">
        <v>151</v>
      </c>
      <c r="C42" s="20"/>
      <c r="D42" s="21" t="s">
        <v>153</v>
      </c>
      <c r="E42" s="21" t="s">
        <v>605</v>
      </c>
      <c r="F42" s="22" t="s">
        <v>17</v>
      </c>
      <c r="G42" s="22">
        <v>183</v>
      </c>
      <c r="H42" s="22">
        <v>24</v>
      </c>
      <c r="I42" s="23">
        <v>45118</v>
      </c>
      <c r="J42" s="22" t="s">
        <v>539</v>
      </c>
      <c r="K42" s="22" t="s">
        <v>297</v>
      </c>
      <c r="L42" s="22" t="s">
        <v>540</v>
      </c>
      <c r="M42" s="22" t="s">
        <v>553</v>
      </c>
      <c r="N42" s="18">
        <v>852</v>
      </c>
      <c r="O42" s="18">
        <v>768</v>
      </c>
    </row>
    <row r="43" spans="1:15" x14ac:dyDescent="0.25">
      <c r="A43" s="18">
        <v>42</v>
      </c>
      <c r="B43" s="19" t="s">
        <v>154</v>
      </c>
      <c r="C43" s="20"/>
      <c r="D43" s="21" t="s">
        <v>156</v>
      </c>
      <c r="E43" s="21" t="s">
        <v>606</v>
      </c>
      <c r="F43" s="22" t="s">
        <v>30</v>
      </c>
      <c r="G43" s="22">
        <v>153</v>
      </c>
      <c r="H43" s="22">
        <v>17</v>
      </c>
      <c r="I43" s="23">
        <v>45018</v>
      </c>
      <c r="J43" s="22" t="s">
        <v>539</v>
      </c>
      <c r="K43" s="22" t="s">
        <v>493</v>
      </c>
      <c r="L43" s="22" t="s">
        <v>540</v>
      </c>
      <c r="M43" s="22" t="s">
        <v>555</v>
      </c>
      <c r="N43" s="18" t="s">
        <v>607</v>
      </c>
      <c r="O43" s="18">
        <v>3350</v>
      </c>
    </row>
    <row r="44" spans="1:15" x14ac:dyDescent="0.25">
      <c r="A44" s="18">
        <v>43</v>
      </c>
      <c r="B44" s="19" t="s">
        <v>157</v>
      </c>
      <c r="C44" s="20"/>
      <c r="D44" s="21" t="s">
        <v>159</v>
      </c>
      <c r="E44" s="21" t="s">
        <v>608</v>
      </c>
      <c r="F44" s="22" t="s">
        <v>17</v>
      </c>
      <c r="G44" s="22">
        <v>131</v>
      </c>
      <c r="H44" s="22">
        <v>19</v>
      </c>
      <c r="I44" s="23">
        <v>45143</v>
      </c>
      <c r="J44" s="22" t="s">
        <v>539</v>
      </c>
      <c r="K44" s="22" t="s">
        <v>494</v>
      </c>
      <c r="L44" s="22" t="s">
        <v>540</v>
      </c>
      <c r="M44" s="22" t="s">
        <v>609</v>
      </c>
      <c r="N44" s="18">
        <v>2285</v>
      </c>
      <c r="O44" s="18">
        <v>379000</v>
      </c>
    </row>
    <row r="45" spans="1:15" x14ac:dyDescent="0.25">
      <c r="A45" s="18">
        <v>44</v>
      </c>
      <c r="B45" s="19" t="s">
        <v>160</v>
      </c>
      <c r="C45" s="20"/>
      <c r="D45" s="21" t="s">
        <v>162</v>
      </c>
      <c r="E45" s="21" t="s">
        <v>610</v>
      </c>
      <c r="F45" s="22" t="s">
        <v>30</v>
      </c>
      <c r="G45" s="22">
        <v>158</v>
      </c>
      <c r="H45" s="22">
        <v>16</v>
      </c>
      <c r="I45" s="23">
        <v>45079</v>
      </c>
      <c r="J45" s="22" t="s">
        <v>539</v>
      </c>
      <c r="K45" s="22" t="s">
        <v>482</v>
      </c>
      <c r="L45" s="22" t="s">
        <v>540</v>
      </c>
      <c r="M45" s="22" t="s">
        <v>555</v>
      </c>
      <c r="N45" s="18">
        <v>751</v>
      </c>
      <c r="O45" s="18">
        <v>1730</v>
      </c>
    </row>
    <row r="46" spans="1:15" x14ac:dyDescent="0.25">
      <c r="A46" s="18">
        <v>45</v>
      </c>
      <c r="B46" s="19" t="s">
        <v>163</v>
      </c>
      <c r="C46" s="20"/>
      <c r="D46" s="21" t="s">
        <v>165</v>
      </c>
      <c r="E46" s="21" t="s">
        <v>611</v>
      </c>
      <c r="F46" s="22" t="s">
        <v>30</v>
      </c>
      <c r="G46" s="22">
        <v>154</v>
      </c>
      <c r="H46" s="22">
        <v>14</v>
      </c>
      <c r="I46" s="23">
        <v>45127</v>
      </c>
      <c r="J46" s="22" t="s">
        <v>539</v>
      </c>
      <c r="K46" s="22" t="s">
        <v>495</v>
      </c>
      <c r="L46" s="22" t="s">
        <v>540</v>
      </c>
      <c r="M46" s="22" t="s">
        <v>562</v>
      </c>
      <c r="N46" s="18">
        <v>2490</v>
      </c>
      <c r="O46" s="18">
        <v>482000</v>
      </c>
    </row>
    <row r="47" spans="1:15" x14ac:dyDescent="0.25">
      <c r="A47" s="18">
        <v>46</v>
      </c>
      <c r="B47" s="19" t="s">
        <v>166</v>
      </c>
      <c r="C47" s="20"/>
      <c r="D47" s="21" t="s">
        <v>168</v>
      </c>
      <c r="E47" s="21" t="s">
        <v>612</v>
      </c>
      <c r="F47" s="22" t="s">
        <v>30</v>
      </c>
      <c r="G47" s="22">
        <v>169</v>
      </c>
      <c r="H47" s="22">
        <v>24</v>
      </c>
      <c r="I47" s="23">
        <v>45188</v>
      </c>
      <c r="J47" s="22" t="s">
        <v>539</v>
      </c>
      <c r="K47" s="22" t="s">
        <v>297</v>
      </c>
      <c r="L47" s="22" t="s">
        <v>540</v>
      </c>
      <c r="M47" s="22" t="s">
        <v>559</v>
      </c>
      <c r="N47" s="18">
        <v>444</v>
      </c>
      <c r="O47" s="18">
        <v>763</v>
      </c>
    </row>
    <row r="48" spans="1:15" x14ac:dyDescent="0.25">
      <c r="A48" s="18">
        <v>47</v>
      </c>
      <c r="B48" s="19" t="s">
        <v>169</v>
      </c>
      <c r="C48" s="20"/>
      <c r="D48" s="21" t="s">
        <v>171</v>
      </c>
      <c r="E48" s="21" t="s">
        <v>613</v>
      </c>
      <c r="F48" s="22" t="s">
        <v>30</v>
      </c>
      <c r="G48" s="22">
        <v>174</v>
      </c>
      <c r="H48" s="22">
        <v>28</v>
      </c>
      <c r="I48" s="23">
        <v>45135</v>
      </c>
      <c r="J48" s="22" t="s">
        <v>539</v>
      </c>
      <c r="K48" s="22" t="s">
        <v>496</v>
      </c>
      <c r="L48" s="22" t="s">
        <v>540</v>
      </c>
      <c r="M48" s="22" t="s">
        <v>553</v>
      </c>
      <c r="N48" s="18">
        <v>156</v>
      </c>
      <c r="O48" s="18">
        <v>72</v>
      </c>
    </row>
    <row r="49" spans="1:15" x14ac:dyDescent="0.25">
      <c r="A49" s="18">
        <v>48</v>
      </c>
      <c r="B49" s="19" t="s">
        <v>172</v>
      </c>
      <c r="C49" s="20"/>
      <c r="D49" s="21" t="s">
        <v>174</v>
      </c>
      <c r="E49" s="21" t="s">
        <v>614</v>
      </c>
      <c r="F49" s="22" t="s">
        <v>30</v>
      </c>
      <c r="G49" s="22">
        <v>145</v>
      </c>
      <c r="H49" s="22">
        <v>15</v>
      </c>
      <c r="I49" s="23">
        <v>45013</v>
      </c>
      <c r="J49" s="22" t="s">
        <v>539</v>
      </c>
      <c r="K49" s="22" t="s">
        <v>297</v>
      </c>
      <c r="L49" s="22" t="s">
        <v>540</v>
      </c>
      <c r="M49" s="22" t="s">
        <v>553</v>
      </c>
      <c r="N49" s="18">
        <v>509</v>
      </c>
      <c r="O49" s="18">
        <v>5240</v>
      </c>
    </row>
    <row r="50" spans="1:15" x14ac:dyDescent="0.25">
      <c r="A50" s="18">
        <v>49</v>
      </c>
      <c r="B50" s="19" t="s">
        <v>175</v>
      </c>
      <c r="C50" s="20"/>
      <c r="D50" s="21" t="s">
        <v>177</v>
      </c>
      <c r="E50" s="21" t="s">
        <v>615</v>
      </c>
      <c r="F50" s="22" t="s">
        <v>30</v>
      </c>
      <c r="G50" s="22">
        <v>137</v>
      </c>
      <c r="H50" s="22" t="s">
        <v>475</v>
      </c>
      <c r="I50" s="23">
        <v>45235</v>
      </c>
      <c r="J50" s="22" t="s">
        <v>539</v>
      </c>
      <c r="K50" s="22" t="s">
        <v>482</v>
      </c>
      <c r="L50" s="22" t="s">
        <v>540</v>
      </c>
      <c r="M50" s="22" t="s">
        <v>562</v>
      </c>
      <c r="N50" s="18">
        <v>287</v>
      </c>
      <c r="O50" s="18">
        <v>1240</v>
      </c>
    </row>
    <row r="51" spans="1:15" x14ac:dyDescent="0.25">
      <c r="A51" s="18">
        <v>50</v>
      </c>
      <c r="B51" s="19" t="s">
        <v>178</v>
      </c>
      <c r="C51" s="20"/>
      <c r="D51" s="21" t="s">
        <v>180</v>
      </c>
      <c r="E51" s="21" t="s">
        <v>616</v>
      </c>
      <c r="F51" s="22" t="s">
        <v>30</v>
      </c>
      <c r="G51" s="22">
        <v>174</v>
      </c>
      <c r="H51" s="22">
        <v>29</v>
      </c>
      <c r="I51" s="23">
        <v>45150</v>
      </c>
      <c r="J51" s="22" t="s">
        <v>539</v>
      </c>
      <c r="K51" s="22" t="s">
        <v>297</v>
      </c>
      <c r="L51" s="22" t="s">
        <v>540</v>
      </c>
      <c r="M51" s="22" t="s">
        <v>617</v>
      </c>
      <c r="N51" s="18">
        <v>696</v>
      </c>
      <c r="O51" s="18">
        <v>3240</v>
      </c>
    </row>
    <row r="52" spans="1:15" x14ac:dyDescent="0.25">
      <c r="A52" s="18">
        <v>51</v>
      </c>
      <c r="B52" s="19" t="s">
        <v>181</v>
      </c>
      <c r="C52" s="20"/>
      <c r="D52" s="21" t="s">
        <v>183</v>
      </c>
      <c r="E52" s="21" t="s">
        <v>618</v>
      </c>
      <c r="F52" s="22" t="s">
        <v>17</v>
      </c>
      <c r="G52" s="22">
        <v>172</v>
      </c>
      <c r="H52" s="22" t="s">
        <v>475</v>
      </c>
      <c r="I52" s="23">
        <v>44931</v>
      </c>
      <c r="J52" s="22" t="s">
        <v>539</v>
      </c>
      <c r="K52" s="22" t="s">
        <v>482</v>
      </c>
      <c r="L52" s="22" t="s">
        <v>540</v>
      </c>
      <c r="M52" s="22" t="s">
        <v>619</v>
      </c>
      <c r="N52" s="18" t="s">
        <v>620</v>
      </c>
      <c r="O52" s="18">
        <v>21800</v>
      </c>
    </row>
    <row r="53" spans="1:15" x14ac:dyDescent="0.25">
      <c r="A53" s="18">
        <v>52</v>
      </c>
      <c r="B53" s="19" t="s">
        <v>184</v>
      </c>
      <c r="C53" s="20"/>
      <c r="D53" s="21" t="s">
        <v>186</v>
      </c>
      <c r="E53" s="21" t="s">
        <v>621</v>
      </c>
      <c r="F53" s="22" t="s">
        <v>17</v>
      </c>
      <c r="G53" s="22">
        <v>168</v>
      </c>
      <c r="H53" s="22">
        <v>16</v>
      </c>
      <c r="I53" s="23">
        <v>44977</v>
      </c>
      <c r="J53" s="22" t="s">
        <v>539</v>
      </c>
      <c r="K53" s="22" t="s">
        <v>297</v>
      </c>
      <c r="L53" s="22" t="s">
        <v>540</v>
      </c>
      <c r="M53" s="22" t="s">
        <v>597</v>
      </c>
      <c r="N53" s="18">
        <v>244</v>
      </c>
      <c r="O53" s="18">
        <v>169</v>
      </c>
    </row>
    <row r="54" spans="1:15" x14ac:dyDescent="0.25">
      <c r="A54" s="18">
        <v>53</v>
      </c>
      <c r="B54" s="19" t="s">
        <v>187</v>
      </c>
      <c r="C54" s="20"/>
      <c r="D54" s="21" t="s">
        <v>189</v>
      </c>
      <c r="E54" s="21" t="s">
        <v>622</v>
      </c>
      <c r="F54" s="22" t="s">
        <v>17</v>
      </c>
      <c r="G54" s="22">
        <v>184</v>
      </c>
      <c r="H54" s="22">
        <v>27</v>
      </c>
      <c r="I54" s="23">
        <v>45093</v>
      </c>
      <c r="J54" s="22" t="s">
        <v>539</v>
      </c>
      <c r="K54" s="22" t="s">
        <v>483</v>
      </c>
      <c r="L54" s="22" t="s">
        <v>540</v>
      </c>
      <c r="M54" s="22" t="s">
        <v>562</v>
      </c>
      <c r="N54" s="18">
        <v>329</v>
      </c>
      <c r="O54" s="18">
        <v>579</v>
      </c>
    </row>
    <row r="55" spans="1:15" x14ac:dyDescent="0.25">
      <c r="A55" s="18">
        <v>54</v>
      </c>
      <c r="B55" s="19" t="s">
        <v>190</v>
      </c>
      <c r="C55" s="20"/>
      <c r="D55" s="21" t="s">
        <v>192</v>
      </c>
      <c r="E55" s="21" t="s">
        <v>623</v>
      </c>
      <c r="F55" s="22" t="s">
        <v>30</v>
      </c>
      <c r="G55" s="22">
        <v>164</v>
      </c>
      <c r="H55" s="22">
        <v>19</v>
      </c>
      <c r="I55" s="23">
        <v>45168</v>
      </c>
      <c r="J55" s="22" t="s">
        <v>539</v>
      </c>
      <c r="K55" s="22" t="s">
        <v>497</v>
      </c>
      <c r="L55" s="22" t="s">
        <v>540</v>
      </c>
      <c r="M55" s="22" t="s">
        <v>562</v>
      </c>
      <c r="N55" s="18">
        <v>659</v>
      </c>
      <c r="O55" s="18">
        <v>5080</v>
      </c>
    </row>
    <row r="56" spans="1:15" x14ac:dyDescent="0.25">
      <c r="A56" s="18">
        <v>55</v>
      </c>
      <c r="B56" s="19" t="s">
        <v>193</v>
      </c>
      <c r="C56" s="20"/>
      <c r="D56" s="21" t="s">
        <v>195</v>
      </c>
      <c r="E56" s="21" t="s">
        <v>624</v>
      </c>
      <c r="F56" s="22" t="s">
        <v>17</v>
      </c>
      <c r="G56" s="22">
        <v>182</v>
      </c>
      <c r="H56" s="22" t="s">
        <v>475</v>
      </c>
      <c r="I56" s="23">
        <v>45218</v>
      </c>
      <c r="J56" s="22" t="s">
        <v>539</v>
      </c>
      <c r="K56" s="22" t="s">
        <v>297</v>
      </c>
      <c r="L56" s="22" t="s">
        <v>540</v>
      </c>
      <c r="M56" s="22" t="s">
        <v>581</v>
      </c>
      <c r="N56" s="18">
        <v>799</v>
      </c>
      <c r="O56" s="18">
        <v>7630</v>
      </c>
    </row>
    <row r="57" spans="1:15" x14ac:dyDescent="0.25">
      <c r="A57" s="18">
        <v>56</v>
      </c>
      <c r="B57" s="19" t="s">
        <v>196</v>
      </c>
      <c r="C57" s="20"/>
      <c r="D57" s="21" t="s">
        <v>198</v>
      </c>
      <c r="E57" s="21" t="s">
        <v>625</v>
      </c>
      <c r="F57" s="22" t="s">
        <v>30</v>
      </c>
      <c r="G57" s="22">
        <v>177</v>
      </c>
      <c r="H57" s="22">
        <v>35</v>
      </c>
      <c r="I57" s="23">
        <v>45105</v>
      </c>
      <c r="J57" s="22" t="s">
        <v>539</v>
      </c>
      <c r="K57" s="22" t="s">
        <v>498</v>
      </c>
      <c r="L57" s="22" t="s">
        <v>540</v>
      </c>
      <c r="M57" s="22" t="s">
        <v>570</v>
      </c>
      <c r="N57" s="18">
        <v>515</v>
      </c>
      <c r="O57" s="18">
        <v>2340</v>
      </c>
    </row>
    <row r="58" spans="1:15" x14ac:dyDescent="0.25">
      <c r="A58" s="18">
        <v>57</v>
      </c>
      <c r="B58" s="19" t="s">
        <v>199</v>
      </c>
      <c r="C58" s="20"/>
      <c r="D58" s="21" t="s">
        <v>201</v>
      </c>
      <c r="E58" s="21" t="s">
        <v>626</v>
      </c>
      <c r="F58" s="22" t="s">
        <v>30</v>
      </c>
      <c r="G58" s="22">
        <v>173</v>
      </c>
      <c r="H58" s="22" t="s">
        <v>499</v>
      </c>
      <c r="I58" s="23">
        <v>44987</v>
      </c>
      <c r="J58" s="22" t="s">
        <v>539</v>
      </c>
      <c r="K58" s="22" t="s">
        <v>297</v>
      </c>
      <c r="L58" s="22" t="s">
        <v>540</v>
      </c>
      <c r="M58" s="22" t="s">
        <v>545</v>
      </c>
      <c r="N58" s="18">
        <v>162</v>
      </c>
      <c r="O58" s="18">
        <v>220</v>
      </c>
    </row>
    <row r="59" spans="1:15" x14ac:dyDescent="0.25">
      <c r="A59" s="18">
        <v>58</v>
      </c>
      <c r="B59" s="19" t="s">
        <v>202</v>
      </c>
      <c r="C59" s="20"/>
      <c r="D59" s="21" t="s">
        <v>204</v>
      </c>
      <c r="E59" s="21" t="s">
        <v>627</v>
      </c>
      <c r="F59" s="22" t="s">
        <v>30</v>
      </c>
      <c r="G59" s="22">
        <v>160</v>
      </c>
      <c r="H59" s="22">
        <v>26</v>
      </c>
      <c r="I59" s="23">
        <v>45272</v>
      </c>
      <c r="J59" s="22" t="s">
        <v>539</v>
      </c>
      <c r="K59" s="22" t="s">
        <v>483</v>
      </c>
      <c r="L59" s="22" t="s">
        <v>540</v>
      </c>
      <c r="M59" s="22" t="s">
        <v>567</v>
      </c>
      <c r="N59" s="18">
        <v>738</v>
      </c>
      <c r="O59" s="18">
        <v>8970</v>
      </c>
    </row>
    <row r="60" spans="1:15" x14ac:dyDescent="0.25">
      <c r="A60" s="18">
        <v>59</v>
      </c>
      <c r="B60" s="19" t="s">
        <v>205</v>
      </c>
      <c r="C60" s="20"/>
      <c r="D60" s="21" t="s">
        <v>207</v>
      </c>
      <c r="E60" s="21" t="s">
        <v>628</v>
      </c>
      <c r="F60" s="22" t="s">
        <v>30</v>
      </c>
      <c r="G60" s="22">
        <v>162</v>
      </c>
      <c r="H60" s="22" t="s">
        <v>475</v>
      </c>
      <c r="I60" s="23">
        <v>45226</v>
      </c>
      <c r="J60" s="22" t="s">
        <v>539</v>
      </c>
      <c r="K60" s="22" t="s">
        <v>297</v>
      </c>
      <c r="L60" s="22" t="s">
        <v>540</v>
      </c>
      <c r="M60" s="22" t="s">
        <v>562</v>
      </c>
      <c r="N60" s="18">
        <v>877</v>
      </c>
      <c r="O60" s="18">
        <v>10100</v>
      </c>
    </row>
    <row r="61" spans="1:15" x14ac:dyDescent="0.25">
      <c r="A61" s="18">
        <v>60</v>
      </c>
      <c r="B61" s="19" t="s">
        <v>208</v>
      </c>
      <c r="C61" s="20"/>
      <c r="D61" s="21" t="s">
        <v>210</v>
      </c>
      <c r="E61" s="21" t="s">
        <v>629</v>
      </c>
      <c r="F61" s="22" t="s">
        <v>17</v>
      </c>
      <c r="G61" s="22">
        <v>173</v>
      </c>
      <c r="H61" s="22" t="s">
        <v>475</v>
      </c>
      <c r="I61" s="23">
        <v>45250</v>
      </c>
      <c r="J61" s="22" t="s">
        <v>539</v>
      </c>
      <c r="K61" s="22" t="s">
        <v>500</v>
      </c>
      <c r="L61" s="22" t="s">
        <v>540</v>
      </c>
      <c r="M61" s="22" t="s">
        <v>549</v>
      </c>
      <c r="N61" s="18">
        <v>671</v>
      </c>
      <c r="O61" s="18">
        <v>4050</v>
      </c>
    </row>
    <row r="62" spans="1:15" x14ac:dyDescent="0.25">
      <c r="A62" s="18">
        <v>61</v>
      </c>
      <c r="B62" s="19" t="s">
        <v>211</v>
      </c>
      <c r="C62" s="20"/>
      <c r="D62" s="21" t="s">
        <v>213</v>
      </c>
      <c r="E62" s="21" t="s">
        <v>630</v>
      </c>
      <c r="F62" s="22" t="s">
        <v>30</v>
      </c>
      <c r="G62" s="22">
        <v>163</v>
      </c>
      <c r="H62" s="22">
        <v>17</v>
      </c>
      <c r="I62" s="23">
        <v>45122</v>
      </c>
      <c r="J62" s="22" t="s">
        <v>539</v>
      </c>
      <c r="K62" s="22" t="s">
        <v>483</v>
      </c>
      <c r="L62" s="22" t="s">
        <v>540</v>
      </c>
      <c r="M62" s="22" t="s">
        <v>567</v>
      </c>
      <c r="N62" s="18">
        <v>438</v>
      </c>
      <c r="O62" s="18">
        <v>2160</v>
      </c>
    </row>
    <row r="63" spans="1:15" x14ac:dyDescent="0.25">
      <c r="A63" s="18">
        <v>62</v>
      </c>
      <c r="B63" s="19" t="s">
        <v>214</v>
      </c>
      <c r="C63" s="20"/>
      <c r="D63" s="21" t="s">
        <v>216</v>
      </c>
      <c r="E63" s="21" t="s">
        <v>631</v>
      </c>
      <c r="F63" s="22" t="s">
        <v>30</v>
      </c>
      <c r="G63" s="22">
        <v>165</v>
      </c>
      <c r="H63" s="22">
        <v>28</v>
      </c>
      <c r="I63" s="23">
        <v>45190</v>
      </c>
      <c r="J63" s="22" t="s">
        <v>539</v>
      </c>
      <c r="K63" s="22" t="s">
        <v>501</v>
      </c>
      <c r="L63" s="22" t="s">
        <v>540</v>
      </c>
      <c r="M63" s="22" t="s">
        <v>553</v>
      </c>
      <c r="N63" s="18">
        <v>138</v>
      </c>
      <c r="O63" s="18">
        <v>835</v>
      </c>
    </row>
    <row r="64" spans="1:15" x14ac:dyDescent="0.25">
      <c r="A64" s="18">
        <v>63</v>
      </c>
      <c r="B64" s="19" t="s">
        <v>217</v>
      </c>
      <c r="C64" s="20"/>
      <c r="D64" s="21" t="s">
        <v>219</v>
      </c>
      <c r="E64" s="21" t="s">
        <v>632</v>
      </c>
      <c r="F64" s="22" t="s">
        <v>17</v>
      </c>
      <c r="G64" s="22">
        <v>174</v>
      </c>
      <c r="H64" s="22">
        <v>18</v>
      </c>
      <c r="I64" s="23">
        <v>45130</v>
      </c>
      <c r="J64" s="22" t="s">
        <v>539</v>
      </c>
      <c r="K64" s="22" t="s">
        <v>502</v>
      </c>
      <c r="L64" s="22" t="s">
        <v>540</v>
      </c>
      <c r="M64" s="22" t="s">
        <v>547</v>
      </c>
      <c r="N64" s="18">
        <v>276</v>
      </c>
      <c r="O64" s="18">
        <v>85</v>
      </c>
    </row>
    <row r="65" spans="1:15" x14ac:dyDescent="0.25">
      <c r="A65" s="18">
        <v>64</v>
      </c>
      <c r="B65" s="19" t="s">
        <v>220</v>
      </c>
      <c r="C65" s="20"/>
      <c r="D65" s="21" t="s">
        <v>222</v>
      </c>
      <c r="E65" s="21" t="s">
        <v>633</v>
      </c>
      <c r="F65" s="22" t="s">
        <v>17</v>
      </c>
      <c r="G65" s="22">
        <v>173</v>
      </c>
      <c r="H65" s="22">
        <v>27</v>
      </c>
      <c r="I65" s="23">
        <v>45196</v>
      </c>
      <c r="J65" s="22" t="s">
        <v>539</v>
      </c>
      <c r="K65" s="22" t="s">
        <v>503</v>
      </c>
      <c r="L65" s="22" t="s">
        <v>540</v>
      </c>
      <c r="M65" s="22" t="s">
        <v>541</v>
      </c>
      <c r="N65" s="18">
        <v>261</v>
      </c>
      <c r="O65" s="18">
        <v>316</v>
      </c>
    </row>
    <row r="66" spans="1:15" x14ac:dyDescent="0.25">
      <c r="A66" s="18">
        <v>65</v>
      </c>
      <c r="B66" s="19" t="s">
        <v>223</v>
      </c>
      <c r="C66" s="20"/>
      <c r="D66" s="21" t="s">
        <v>225</v>
      </c>
      <c r="E66" s="21" t="s">
        <v>634</v>
      </c>
      <c r="F66" s="22" t="s">
        <v>17</v>
      </c>
      <c r="G66" s="22">
        <v>173</v>
      </c>
      <c r="H66" s="22">
        <v>33</v>
      </c>
      <c r="I66" s="23">
        <v>45023</v>
      </c>
      <c r="J66" s="22" t="s">
        <v>539</v>
      </c>
      <c r="K66" s="22" t="s">
        <v>297</v>
      </c>
      <c r="L66" s="22" t="s">
        <v>540</v>
      </c>
      <c r="M66" s="22" t="s">
        <v>547</v>
      </c>
      <c r="N66" s="18">
        <v>578</v>
      </c>
      <c r="O66" s="18">
        <v>2590</v>
      </c>
    </row>
    <row r="67" spans="1:15" x14ac:dyDescent="0.25">
      <c r="A67" s="18">
        <v>66</v>
      </c>
      <c r="B67" s="19" t="s">
        <v>226</v>
      </c>
      <c r="C67" s="20"/>
      <c r="D67" s="21" t="s">
        <v>228</v>
      </c>
      <c r="E67" s="21" t="s">
        <v>635</v>
      </c>
      <c r="F67" s="22" t="s">
        <v>30</v>
      </c>
      <c r="G67" s="22">
        <v>130</v>
      </c>
      <c r="H67" s="22">
        <v>10</v>
      </c>
      <c r="I67" s="23">
        <v>45075</v>
      </c>
      <c r="J67" s="22" t="s">
        <v>539</v>
      </c>
      <c r="K67" s="22" t="s">
        <v>504</v>
      </c>
      <c r="L67" s="22" t="s">
        <v>540</v>
      </c>
      <c r="M67" s="22" t="s">
        <v>636</v>
      </c>
      <c r="N67" s="18">
        <v>923</v>
      </c>
      <c r="O67" s="18">
        <v>8110</v>
      </c>
    </row>
    <row r="68" spans="1:15" x14ac:dyDescent="0.25">
      <c r="A68" s="18">
        <v>67</v>
      </c>
      <c r="B68" s="19" t="s">
        <v>229</v>
      </c>
      <c r="C68" s="20"/>
      <c r="D68" s="21" t="s">
        <v>231</v>
      </c>
      <c r="E68" s="21" t="s">
        <v>637</v>
      </c>
      <c r="F68" s="22" t="s">
        <v>30</v>
      </c>
      <c r="G68" s="22">
        <v>132</v>
      </c>
      <c r="H68" s="22">
        <v>14</v>
      </c>
      <c r="I68" s="23">
        <v>44962</v>
      </c>
      <c r="J68" s="22" t="s">
        <v>539</v>
      </c>
      <c r="K68" s="22" t="s">
        <v>505</v>
      </c>
      <c r="L68" s="22" t="s">
        <v>540</v>
      </c>
      <c r="M68" s="22" t="s">
        <v>559</v>
      </c>
      <c r="N68" s="18">
        <v>198</v>
      </c>
      <c r="O68" s="18">
        <v>694</v>
      </c>
    </row>
    <row r="69" spans="1:15" x14ac:dyDescent="0.25">
      <c r="A69" s="18">
        <v>68</v>
      </c>
      <c r="B69" s="19" t="s">
        <v>232</v>
      </c>
      <c r="C69" s="20"/>
      <c r="D69" s="21" t="s">
        <v>234</v>
      </c>
      <c r="E69" s="21" t="s">
        <v>638</v>
      </c>
      <c r="F69" s="22" t="s">
        <v>30</v>
      </c>
      <c r="G69" s="22">
        <v>149</v>
      </c>
      <c r="H69" s="22" t="s">
        <v>475</v>
      </c>
      <c r="I69" s="23">
        <v>44968</v>
      </c>
      <c r="J69" s="22" t="s">
        <v>539</v>
      </c>
      <c r="K69" s="22" t="s">
        <v>506</v>
      </c>
      <c r="L69" s="22" t="s">
        <v>540</v>
      </c>
      <c r="M69" s="22" t="s">
        <v>619</v>
      </c>
      <c r="N69" s="18">
        <v>1095</v>
      </c>
      <c r="O69" s="18">
        <v>6270</v>
      </c>
    </row>
    <row r="70" spans="1:15" x14ac:dyDescent="0.25">
      <c r="A70" s="18">
        <v>69</v>
      </c>
      <c r="B70" s="19" t="s">
        <v>235</v>
      </c>
      <c r="C70" s="20"/>
      <c r="D70" s="21" t="s">
        <v>237</v>
      </c>
      <c r="E70" s="21" t="s">
        <v>639</v>
      </c>
      <c r="F70" s="22" t="s">
        <v>17</v>
      </c>
      <c r="G70" s="22">
        <v>168</v>
      </c>
      <c r="H70" s="22">
        <v>18</v>
      </c>
      <c r="I70" s="23">
        <v>45232</v>
      </c>
      <c r="J70" s="22" t="s">
        <v>539</v>
      </c>
      <c r="K70" s="22" t="s">
        <v>507</v>
      </c>
      <c r="L70" s="22" t="s">
        <v>540</v>
      </c>
      <c r="M70" s="22" t="s">
        <v>562</v>
      </c>
      <c r="N70" s="18">
        <v>1123</v>
      </c>
      <c r="O70" s="18">
        <v>1640</v>
      </c>
    </row>
    <row r="71" spans="1:15" x14ac:dyDescent="0.25">
      <c r="A71" s="18">
        <v>70</v>
      </c>
      <c r="B71" s="19" t="s">
        <v>238</v>
      </c>
      <c r="C71" s="20"/>
      <c r="D71" s="21" t="s">
        <v>240</v>
      </c>
      <c r="E71" s="21" t="s">
        <v>640</v>
      </c>
      <c r="F71" s="22" t="s">
        <v>17</v>
      </c>
      <c r="G71" s="22">
        <v>133</v>
      </c>
      <c r="H71" s="22">
        <v>10</v>
      </c>
      <c r="I71" s="23">
        <v>44985</v>
      </c>
      <c r="J71" s="22" t="s">
        <v>539</v>
      </c>
      <c r="K71" s="22" t="s">
        <v>297</v>
      </c>
      <c r="L71" s="22" t="s">
        <v>540</v>
      </c>
      <c r="M71" s="22" t="s">
        <v>636</v>
      </c>
      <c r="N71" s="18">
        <v>450</v>
      </c>
      <c r="O71" s="18">
        <v>1250</v>
      </c>
    </row>
    <row r="72" spans="1:15" x14ac:dyDescent="0.25">
      <c r="A72" s="18">
        <v>71</v>
      </c>
      <c r="B72" s="19" t="s">
        <v>241</v>
      </c>
      <c r="C72" s="20"/>
      <c r="D72" s="21" t="s">
        <v>243</v>
      </c>
      <c r="E72" s="21" t="s">
        <v>641</v>
      </c>
      <c r="F72" s="22" t="s">
        <v>30</v>
      </c>
      <c r="G72" s="22">
        <v>133</v>
      </c>
      <c r="H72" s="22">
        <v>12</v>
      </c>
      <c r="I72" s="23">
        <v>45221</v>
      </c>
      <c r="J72" s="22" t="s">
        <v>539</v>
      </c>
      <c r="K72" s="22" t="s">
        <v>508</v>
      </c>
      <c r="L72" s="22" t="s">
        <v>540</v>
      </c>
      <c r="M72" s="22" t="s">
        <v>581</v>
      </c>
      <c r="N72" s="18">
        <v>547</v>
      </c>
      <c r="O72" s="18">
        <v>2070</v>
      </c>
    </row>
    <row r="73" spans="1:15" x14ac:dyDescent="0.25">
      <c r="A73" s="27">
        <v>72</v>
      </c>
      <c r="B73" s="28" t="s">
        <v>244</v>
      </c>
      <c r="C73" s="29"/>
      <c r="D73" s="30" t="s">
        <v>246</v>
      </c>
      <c r="E73" s="30" t="s">
        <v>642</v>
      </c>
      <c r="F73" s="31" t="s">
        <v>30</v>
      </c>
      <c r="G73" s="31">
        <v>155</v>
      </c>
      <c r="H73" s="31">
        <v>16</v>
      </c>
      <c r="I73" s="32">
        <v>45179</v>
      </c>
      <c r="J73" s="31" t="s">
        <v>539</v>
      </c>
      <c r="K73" s="31" t="s">
        <v>297</v>
      </c>
      <c r="L73" s="18" t="s">
        <v>540</v>
      </c>
      <c r="M73" s="18" t="s">
        <v>562</v>
      </c>
      <c r="N73" s="33">
        <v>473</v>
      </c>
      <c r="O73" s="33">
        <v>954</v>
      </c>
    </row>
    <row r="74" spans="1:15" x14ac:dyDescent="0.25">
      <c r="A74" s="34">
        <v>73</v>
      </c>
      <c r="B74" s="35" t="s">
        <v>247</v>
      </c>
      <c r="C74" s="36"/>
      <c r="D74" s="37" t="s">
        <v>250</v>
      </c>
      <c r="E74" s="37" t="s">
        <v>643</v>
      </c>
      <c r="F74" s="38" t="s">
        <v>30</v>
      </c>
      <c r="G74" s="38">
        <v>130</v>
      </c>
      <c r="H74" s="38" t="s">
        <v>475</v>
      </c>
      <c r="I74" s="38" t="s">
        <v>249</v>
      </c>
      <c r="J74" s="38" t="s">
        <v>644</v>
      </c>
      <c r="K74" s="38" t="s">
        <v>249</v>
      </c>
      <c r="L74" s="38" t="s">
        <v>540</v>
      </c>
      <c r="M74" s="38" t="s">
        <v>553</v>
      </c>
      <c r="N74" s="39">
        <v>507</v>
      </c>
      <c r="O74" s="39">
        <v>4226</v>
      </c>
    </row>
    <row r="75" spans="1:15" x14ac:dyDescent="0.25">
      <c r="A75" s="18">
        <v>74</v>
      </c>
      <c r="B75" s="40" t="s">
        <v>251</v>
      </c>
      <c r="C75" s="20"/>
      <c r="D75" s="21" t="s">
        <v>253</v>
      </c>
      <c r="E75" s="21" t="s">
        <v>645</v>
      </c>
      <c r="F75" s="22" t="s">
        <v>30</v>
      </c>
      <c r="G75" s="22">
        <v>153</v>
      </c>
      <c r="H75" s="22" t="s">
        <v>509</v>
      </c>
      <c r="I75" s="22" t="s">
        <v>249</v>
      </c>
      <c r="J75" s="22" t="s">
        <v>644</v>
      </c>
      <c r="K75" s="22" t="s">
        <v>249</v>
      </c>
      <c r="L75" s="22" t="s">
        <v>540</v>
      </c>
      <c r="M75" s="22" t="s">
        <v>567</v>
      </c>
      <c r="N75" s="18">
        <v>713</v>
      </c>
      <c r="O75" s="18">
        <v>4901</v>
      </c>
    </row>
    <row r="76" spans="1:15" x14ac:dyDescent="0.25">
      <c r="A76" s="18">
        <v>75</v>
      </c>
      <c r="B76" s="40" t="s">
        <v>254</v>
      </c>
      <c r="C76" s="20"/>
      <c r="D76" s="21" t="s">
        <v>256</v>
      </c>
      <c r="E76" s="21" t="s">
        <v>646</v>
      </c>
      <c r="F76" s="22" t="s">
        <v>30</v>
      </c>
      <c r="G76" s="22">
        <v>154</v>
      </c>
      <c r="H76" s="22" t="s">
        <v>475</v>
      </c>
      <c r="I76" s="22" t="s">
        <v>249</v>
      </c>
      <c r="J76" s="41" t="s">
        <v>644</v>
      </c>
      <c r="K76" s="22" t="s">
        <v>249</v>
      </c>
      <c r="L76" s="22" t="s">
        <v>540</v>
      </c>
      <c r="M76" s="22" t="s">
        <v>559</v>
      </c>
      <c r="N76" s="18">
        <v>719</v>
      </c>
      <c r="O76" s="18">
        <v>2704</v>
      </c>
    </row>
    <row r="77" spans="1:15" x14ac:dyDescent="0.25">
      <c r="A77" s="18">
        <v>76</v>
      </c>
      <c r="B77" s="40" t="s">
        <v>257</v>
      </c>
      <c r="C77" s="20"/>
      <c r="D77" s="21" t="s">
        <v>260</v>
      </c>
      <c r="E77" s="21" t="s">
        <v>647</v>
      </c>
      <c r="F77" s="22" t="s">
        <v>30</v>
      </c>
      <c r="G77" s="22">
        <v>172</v>
      </c>
      <c r="H77" s="22" t="s">
        <v>475</v>
      </c>
      <c r="I77" s="22" t="s">
        <v>249</v>
      </c>
      <c r="J77" s="22" t="s">
        <v>644</v>
      </c>
      <c r="K77" s="22" t="s">
        <v>249</v>
      </c>
      <c r="L77" s="22" t="s">
        <v>540</v>
      </c>
      <c r="M77" s="22" t="s">
        <v>648</v>
      </c>
      <c r="N77" s="18">
        <v>662</v>
      </c>
      <c r="O77" s="18">
        <v>3351</v>
      </c>
    </row>
    <row r="78" spans="1:15" x14ac:dyDescent="0.25">
      <c r="A78" s="18">
        <v>77</v>
      </c>
      <c r="B78" s="40" t="s">
        <v>261</v>
      </c>
      <c r="C78" s="20"/>
      <c r="D78" s="21" t="s">
        <v>263</v>
      </c>
      <c r="E78" s="21" t="s">
        <v>649</v>
      </c>
      <c r="F78" s="22" t="s">
        <v>30</v>
      </c>
      <c r="G78" s="22">
        <v>166</v>
      </c>
      <c r="H78" s="22" t="s">
        <v>475</v>
      </c>
      <c r="I78" s="22" t="s">
        <v>249</v>
      </c>
      <c r="J78" s="41" t="s">
        <v>644</v>
      </c>
      <c r="K78" s="22" t="s">
        <v>249</v>
      </c>
      <c r="L78" s="22" t="s">
        <v>540</v>
      </c>
      <c r="M78" s="22" t="s">
        <v>597</v>
      </c>
      <c r="N78" s="18">
        <v>401</v>
      </c>
      <c r="O78" s="18">
        <v>515</v>
      </c>
    </row>
    <row r="79" spans="1:15" x14ac:dyDescent="0.25">
      <c r="A79" s="18">
        <v>78</v>
      </c>
      <c r="B79" s="40" t="s">
        <v>264</v>
      </c>
      <c r="C79" s="20"/>
      <c r="D79" s="21" t="s">
        <v>266</v>
      </c>
      <c r="E79" s="21" t="s">
        <v>650</v>
      </c>
      <c r="F79" s="22" t="s">
        <v>30</v>
      </c>
      <c r="G79" s="22">
        <v>150</v>
      </c>
      <c r="H79" s="22" t="s">
        <v>475</v>
      </c>
      <c r="I79" s="22" t="s">
        <v>249</v>
      </c>
      <c r="J79" s="41" t="s">
        <v>644</v>
      </c>
      <c r="K79" s="22" t="s">
        <v>249</v>
      </c>
      <c r="L79" s="22" t="s">
        <v>540</v>
      </c>
      <c r="M79" s="22" t="s">
        <v>249</v>
      </c>
      <c r="N79" s="18">
        <v>337</v>
      </c>
      <c r="O79" s="18">
        <v>119</v>
      </c>
    </row>
    <row r="80" spans="1:15" x14ac:dyDescent="0.25">
      <c r="A80" s="18">
        <v>79</v>
      </c>
      <c r="B80" s="40" t="s">
        <v>267</v>
      </c>
      <c r="C80" s="20"/>
      <c r="D80" s="21" t="s">
        <v>269</v>
      </c>
      <c r="E80" s="21" t="s">
        <v>651</v>
      </c>
      <c r="F80" s="22" t="s">
        <v>17</v>
      </c>
      <c r="G80" s="22">
        <v>177</v>
      </c>
      <c r="H80" s="22" t="s">
        <v>509</v>
      </c>
      <c r="I80" s="22" t="s">
        <v>249</v>
      </c>
      <c r="J80" s="41" t="s">
        <v>644</v>
      </c>
      <c r="K80" s="22" t="s">
        <v>249</v>
      </c>
      <c r="L80" s="22" t="s">
        <v>540</v>
      </c>
      <c r="M80" s="22" t="s">
        <v>601</v>
      </c>
      <c r="N80" s="18">
        <v>538</v>
      </c>
      <c r="O80" s="18">
        <v>1159</v>
      </c>
    </row>
    <row r="81" spans="1:15" x14ac:dyDescent="0.25">
      <c r="A81" s="18">
        <v>80</v>
      </c>
      <c r="B81" s="40" t="s">
        <v>270</v>
      </c>
      <c r="C81" s="20"/>
      <c r="D81" s="21" t="s">
        <v>272</v>
      </c>
      <c r="E81" s="21" t="s">
        <v>652</v>
      </c>
      <c r="F81" s="22" t="s">
        <v>17</v>
      </c>
      <c r="G81" s="22">
        <v>177</v>
      </c>
      <c r="H81" s="22" t="s">
        <v>475</v>
      </c>
      <c r="I81" s="22" t="s">
        <v>249</v>
      </c>
      <c r="J81" s="41" t="s">
        <v>644</v>
      </c>
      <c r="K81" s="22" t="s">
        <v>249</v>
      </c>
      <c r="L81" s="22" t="s">
        <v>540</v>
      </c>
      <c r="M81" s="22" t="s">
        <v>249</v>
      </c>
      <c r="N81" s="18">
        <v>886</v>
      </c>
      <c r="O81" s="18">
        <v>212</v>
      </c>
    </row>
    <row r="82" spans="1:15" x14ac:dyDescent="0.25">
      <c r="A82" s="18">
        <v>81</v>
      </c>
      <c r="B82" s="40" t="s">
        <v>273</v>
      </c>
      <c r="C82" s="20"/>
      <c r="D82" s="21" t="s">
        <v>275</v>
      </c>
      <c r="E82" s="21" t="s">
        <v>653</v>
      </c>
      <c r="F82" s="22" t="s">
        <v>17</v>
      </c>
      <c r="G82" s="22">
        <v>164</v>
      </c>
      <c r="H82" s="22" t="s">
        <v>475</v>
      </c>
      <c r="I82" s="22" t="s">
        <v>249</v>
      </c>
      <c r="J82" s="41" t="s">
        <v>644</v>
      </c>
      <c r="K82" s="22" t="s">
        <v>249</v>
      </c>
      <c r="L82" s="22" t="s">
        <v>540</v>
      </c>
      <c r="M82" s="22" t="s">
        <v>601</v>
      </c>
      <c r="N82" s="18">
        <v>766</v>
      </c>
      <c r="O82" s="18">
        <v>3329</v>
      </c>
    </row>
    <row r="83" spans="1:15" x14ac:dyDescent="0.25">
      <c r="A83" s="18">
        <v>82</v>
      </c>
      <c r="B83" s="40" t="s">
        <v>276</v>
      </c>
      <c r="C83" s="20"/>
      <c r="D83" s="21" t="s">
        <v>278</v>
      </c>
      <c r="E83" s="21" t="s">
        <v>654</v>
      </c>
      <c r="F83" s="22" t="s">
        <v>30</v>
      </c>
      <c r="G83" s="22">
        <v>150</v>
      </c>
      <c r="H83" s="22" t="s">
        <v>475</v>
      </c>
      <c r="I83" s="22" t="s">
        <v>249</v>
      </c>
      <c r="J83" s="41" t="s">
        <v>644</v>
      </c>
      <c r="K83" s="22" t="s">
        <v>249</v>
      </c>
      <c r="L83" s="22" t="s">
        <v>540</v>
      </c>
      <c r="M83" s="22" t="s">
        <v>636</v>
      </c>
      <c r="N83" s="18">
        <v>562</v>
      </c>
      <c r="O83" s="18">
        <v>1291</v>
      </c>
    </row>
    <row r="84" spans="1:15" x14ac:dyDescent="0.25">
      <c r="A84" s="18">
        <v>83</v>
      </c>
      <c r="B84" s="40" t="s">
        <v>279</v>
      </c>
      <c r="C84" s="20"/>
      <c r="D84" s="21" t="s">
        <v>281</v>
      </c>
      <c r="E84" s="21" t="s">
        <v>655</v>
      </c>
      <c r="F84" s="22" t="s">
        <v>30</v>
      </c>
      <c r="G84" s="22">
        <v>123</v>
      </c>
      <c r="H84" s="22" t="s">
        <v>475</v>
      </c>
      <c r="I84" s="22" t="s">
        <v>249</v>
      </c>
      <c r="J84" s="41" t="s">
        <v>644</v>
      </c>
      <c r="K84" s="22" t="s">
        <v>249</v>
      </c>
      <c r="L84" s="22" t="s">
        <v>540</v>
      </c>
      <c r="M84" s="22" t="s">
        <v>559</v>
      </c>
      <c r="N84" s="18">
        <v>373</v>
      </c>
      <c r="O84" s="18">
        <v>33</v>
      </c>
    </row>
    <row r="85" spans="1:15" x14ac:dyDescent="0.25">
      <c r="A85" s="18">
        <v>84</v>
      </c>
      <c r="B85" s="40" t="s">
        <v>282</v>
      </c>
      <c r="C85" s="20"/>
      <c r="D85" s="21" t="s">
        <v>284</v>
      </c>
      <c r="E85" s="21" t="s">
        <v>656</v>
      </c>
      <c r="F85" s="22" t="s">
        <v>30</v>
      </c>
      <c r="G85" s="22">
        <v>182</v>
      </c>
      <c r="H85" s="22" t="s">
        <v>475</v>
      </c>
      <c r="I85" s="22" t="s">
        <v>249</v>
      </c>
      <c r="J85" s="41" t="s">
        <v>644</v>
      </c>
      <c r="K85" s="22" t="s">
        <v>249</v>
      </c>
      <c r="L85" s="22" t="s">
        <v>540</v>
      </c>
      <c r="M85" s="22" t="s">
        <v>559</v>
      </c>
      <c r="N85" s="18">
        <v>406</v>
      </c>
      <c r="O85" s="18">
        <v>1650</v>
      </c>
    </row>
    <row r="86" spans="1:15" x14ac:dyDescent="0.25">
      <c r="A86" s="18">
        <v>85</v>
      </c>
      <c r="B86" s="40" t="s">
        <v>285</v>
      </c>
      <c r="C86" s="20"/>
      <c r="D86" s="21" t="s">
        <v>286</v>
      </c>
      <c r="E86" s="21" t="s">
        <v>657</v>
      </c>
      <c r="F86" s="22" t="s">
        <v>30</v>
      </c>
      <c r="G86" s="22">
        <v>163</v>
      </c>
      <c r="H86" s="22" t="s">
        <v>475</v>
      </c>
      <c r="I86" s="22" t="s">
        <v>249</v>
      </c>
      <c r="J86" s="41" t="s">
        <v>644</v>
      </c>
      <c r="K86" s="22" t="s">
        <v>249</v>
      </c>
      <c r="L86" s="24"/>
      <c r="M86" s="22" t="s">
        <v>547</v>
      </c>
      <c r="N86" s="18">
        <v>445</v>
      </c>
      <c r="O86" s="18">
        <v>282</v>
      </c>
    </row>
    <row r="87" spans="1:15" x14ac:dyDescent="0.25">
      <c r="A87" s="18">
        <v>86</v>
      </c>
      <c r="B87" s="40" t="s">
        <v>287</v>
      </c>
      <c r="C87" s="20"/>
      <c r="D87" s="21" t="s">
        <v>289</v>
      </c>
      <c r="E87" s="21" t="s">
        <v>658</v>
      </c>
      <c r="F87" s="22" t="s">
        <v>30</v>
      </c>
      <c r="G87" s="22">
        <v>165</v>
      </c>
      <c r="H87" s="22" t="s">
        <v>475</v>
      </c>
      <c r="I87" s="23">
        <v>45017</v>
      </c>
      <c r="J87" s="22" t="s">
        <v>659</v>
      </c>
      <c r="K87" s="22" t="s">
        <v>483</v>
      </c>
      <c r="L87" s="22" t="s">
        <v>540</v>
      </c>
      <c r="M87" s="22" t="s">
        <v>249</v>
      </c>
      <c r="N87" s="18">
        <v>440</v>
      </c>
      <c r="O87" s="18">
        <v>4030</v>
      </c>
    </row>
    <row r="88" spans="1:15" x14ac:dyDescent="0.25">
      <c r="A88" s="18">
        <v>87</v>
      </c>
      <c r="B88" s="40" t="s">
        <v>290</v>
      </c>
      <c r="C88" s="20"/>
      <c r="D88" s="21" t="s">
        <v>292</v>
      </c>
      <c r="E88" s="21" t="s">
        <v>660</v>
      </c>
      <c r="F88" s="22" t="s">
        <v>17</v>
      </c>
      <c r="G88" s="22">
        <v>190</v>
      </c>
      <c r="H88" s="22" t="s">
        <v>475</v>
      </c>
      <c r="I88" s="22" t="s">
        <v>249</v>
      </c>
      <c r="J88" s="41" t="s">
        <v>644</v>
      </c>
      <c r="K88" s="22" t="s">
        <v>249</v>
      </c>
      <c r="L88" s="22" t="s">
        <v>540</v>
      </c>
      <c r="M88" s="22" t="s">
        <v>559</v>
      </c>
      <c r="N88" s="18">
        <v>549</v>
      </c>
      <c r="O88" s="18">
        <v>5009</v>
      </c>
    </row>
    <row r="89" spans="1:15" x14ac:dyDescent="0.25">
      <c r="A89" s="18">
        <v>88</v>
      </c>
      <c r="B89" s="40" t="s">
        <v>293</v>
      </c>
      <c r="C89" s="20"/>
      <c r="D89" s="21" t="s">
        <v>294</v>
      </c>
      <c r="E89" s="21" t="s">
        <v>661</v>
      </c>
      <c r="F89" s="22" t="s">
        <v>17</v>
      </c>
      <c r="G89" s="22">
        <v>175</v>
      </c>
      <c r="H89" s="22" t="s">
        <v>475</v>
      </c>
      <c r="I89" s="22" t="s">
        <v>249</v>
      </c>
      <c r="J89" s="41" t="s">
        <v>644</v>
      </c>
      <c r="K89" s="22" t="s">
        <v>249</v>
      </c>
      <c r="L89" s="24"/>
      <c r="M89" s="22" t="s">
        <v>249</v>
      </c>
      <c r="N89" s="18">
        <v>461</v>
      </c>
      <c r="O89" s="18">
        <v>181</v>
      </c>
    </row>
    <row r="90" spans="1:15" x14ac:dyDescent="0.25">
      <c r="A90" s="18">
        <v>89</v>
      </c>
      <c r="B90" s="40" t="s">
        <v>295</v>
      </c>
      <c r="C90" s="20"/>
      <c r="D90" s="21" t="s">
        <v>298</v>
      </c>
      <c r="E90" s="21" t="s">
        <v>662</v>
      </c>
      <c r="F90" s="22" t="s">
        <v>30</v>
      </c>
      <c r="G90" s="22">
        <v>160</v>
      </c>
      <c r="H90" s="22" t="s">
        <v>475</v>
      </c>
      <c r="I90" s="22" t="s">
        <v>249</v>
      </c>
      <c r="J90" s="41" t="s">
        <v>644</v>
      </c>
      <c r="K90" s="22" t="s">
        <v>249</v>
      </c>
      <c r="L90" s="22" t="s">
        <v>540</v>
      </c>
      <c r="M90" s="22" t="s">
        <v>541</v>
      </c>
      <c r="N90" s="18">
        <v>371</v>
      </c>
      <c r="O90" s="18">
        <v>3159</v>
      </c>
    </row>
    <row r="91" spans="1:15" x14ac:dyDescent="0.25">
      <c r="A91" s="18">
        <v>90</v>
      </c>
      <c r="B91" s="40" t="s">
        <v>299</v>
      </c>
      <c r="C91" s="20"/>
      <c r="D91" s="21" t="s">
        <v>301</v>
      </c>
      <c r="E91" s="21" t="s">
        <v>663</v>
      </c>
      <c r="F91" s="22" t="s">
        <v>30</v>
      </c>
      <c r="G91" s="22">
        <v>159</v>
      </c>
      <c r="H91" s="22" t="s">
        <v>475</v>
      </c>
      <c r="I91" s="22" t="s">
        <v>249</v>
      </c>
      <c r="J91" s="41" t="s">
        <v>644</v>
      </c>
      <c r="K91" s="22" t="s">
        <v>249</v>
      </c>
      <c r="L91" s="22" t="s">
        <v>540</v>
      </c>
      <c r="M91" s="22" t="s">
        <v>567</v>
      </c>
      <c r="N91" s="18">
        <v>993</v>
      </c>
      <c r="O91" s="18">
        <v>72507</v>
      </c>
    </row>
    <row r="92" spans="1:15" x14ac:dyDescent="0.25">
      <c r="A92" s="18">
        <v>91</v>
      </c>
      <c r="B92" s="40" t="s">
        <v>302</v>
      </c>
      <c r="C92" s="20"/>
      <c r="D92" s="21" t="s">
        <v>304</v>
      </c>
      <c r="E92" s="21" t="s">
        <v>664</v>
      </c>
      <c r="F92" s="22" t="s">
        <v>30</v>
      </c>
      <c r="G92" s="22">
        <v>159</v>
      </c>
      <c r="H92" s="22" t="s">
        <v>509</v>
      </c>
      <c r="I92" s="22" t="s">
        <v>249</v>
      </c>
      <c r="J92" s="41" t="s">
        <v>644</v>
      </c>
      <c r="K92" s="22" t="s">
        <v>249</v>
      </c>
      <c r="L92" s="22" t="s">
        <v>540</v>
      </c>
      <c r="M92" s="22" t="s">
        <v>553</v>
      </c>
      <c r="N92" s="18">
        <v>404</v>
      </c>
      <c r="O92" s="18">
        <v>446</v>
      </c>
    </row>
    <row r="93" spans="1:15" x14ac:dyDescent="0.25">
      <c r="A93" s="18">
        <v>92</v>
      </c>
      <c r="B93" s="40" t="s">
        <v>305</v>
      </c>
      <c r="C93" s="20"/>
      <c r="D93" s="21" t="s">
        <v>306</v>
      </c>
      <c r="E93" s="21" t="s">
        <v>665</v>
      </c>
      <c r="F93" s="22" t="s">
        <v>30</v>
      </c>
      <c r="G93" s="22">
        <v>169</v>
      </c>
      <c r="H93" s="22" t="s">
        <v>475</v>
      </c>
      <c r="I93" s="22" t="s">
        <v>249</v>
      </c>
      <c r="J93" s="41" t="s">
        <v>644</v>
      </c>
      <c r="K93" s="22" t="s">
        <v>249</v>
      </c>
      <c r="L93" s="24"/>
      <c r="M93" s="22" t="s">
        <v>249</v>
      </c>
      <c r="N93" s="18">
        <v>772</v>
      </c>
      <c r="O93" s="18">
        <v>6729</v>
      </c>
    </row>
    <row r="94" spans="1:15" x14ac:dyDescent="0.25">
      <c r="A94" s="18">
        <v>93</v>
      </c>
      <c r="B94" s="40" t="s">
        <v>307</v>
      </c>
      <c r="C94" s="20"/>
      <c r="D94" s="21" t="s">
        <v>308</v>
      </c>
      <c r="E94" s="21" t="s">
        <v>666</v>
      </c>
      <c r="F94" s="22" t="s">
        <v>30</v>
      </c>
      <c r="G94" s="22">
        <v>163</v>
      </c>
      <c r="H94" s="22" t="s">
        <v>510</v>
      </c>
      <c r="I94" s="22" t="s">
        <v>249</v>
      </c>
      <c r="J94" s="41" t="s">
        <v>644</v>
      </c>
      <c r="K94" s="22" t="s">
        <v>249</v>
      </c>
      <c r="L94" s="24"/>
      <c r="M94" s="22" t="s">
        <v>667</v>
      </c>
      <c r="N94" s="18" t="s">
        <v>668</v>
      </c>
      <c r="O94" s="18">
        <v>33000</v>
      </c>
    </row>
    <row r="95" spans="1:15" x14ac:dyDescent="0.25">
      <c r="A95" s="18">
        <v>94</v>
      </c>
      <c r="B95" s="40" t="s">
        <v>309</v>
      </c>
      <c r="C95" s="20"/>
      <c r="D95" s="21" t="s">
        <v>311</v>
      </c>
      <c r="E95" s="21" t="s">
        <v>669</v>
      </c>
      <c r="F95" s="22" t="s">
        <v>17</v>
      </c>
      <c r="G95" s="22">
        <v>183</v>
      </c>
      <c r="H95" s="22" t="s">
        <v>475</v>
      </c>
      <c r="I95" s="23">
        <v>44988</v>
      </c>
      <c r="J95" s="22" t="s">
        <v>539</v>
      </c>
      <c r="K95" s="22" t="s">
        <v>483</v>
      </c>
      <c r="L95" s="22" t="s">
        <v>540</v>
      </c>
      <c r="M95" s="22" t="s">
        <v>559</v>
      </c>
      <c r="N95" s="18">
        <v>396</v>
      </c>
      <c r="O95" s="18">
        <v>2581</v>
      </c>
    </row>
    <row r="96" spans="1:15" x14ac:dyDescent="0.25">
      <c r="A96" s="18">
        <v>95</v>
      </c>
      <c r="B96" s="40" t="s">
        <v>312</v>
      </c>
      <c r="C96" s="20"/>
      <c r="D96" s="21" t="s">
        <v>314</v>
      </c>
      <c r="E96" s="21" t="s">
        <v>670</v>
      </c>
      <c r="F96" s="22" t="s">
        <v>30</v>
      </c>
      <c r="G96" s="22">
        <v>185</v>
      </c>
      <c r="H96" s="22" t="s">
        <v>475</v>
      </c>
      <c r="I96" s="22" t="s">
        <v>249</v>
      </c>
      <c r="J96" s="41" t="s">
        <v>644</v>
      </c>
      <c r="K96" s="22" t="s">
        <v>249</v>
      </c>
      <c r="L96" s="22" t="s">
        <v>540</v>
      </c>
      <c r="M96" s="22" t="s">
        <v>553</v>
      </c>
      <c r="N96" s="18">
        <v>650</v>
      </c>
      <c r="O96" s="18">
        <v>5200</v>
      </c>
    </row>
    <row r="97" spans="1:15" x14ac:dyDescent="0.25">
      <c r="A97" s="18">
        <v>96</v>
      </c>
      <c r="B97" s="40" t="s">
        <v>315</v>
      </c>
      <c r="C97" s="20"/>
      <c r="D97" s="21" t="s">
        <v>316</v>
      </c>
      <c r="E97" s="21" t="s">
        <v>671</v>
      </c>
      <c r="F97" s="22" t="s">
        <v>30</v>
      </c>
      <c r="G97" s="22">
        <v>175</v>
      </c>
      <c r="H97" s="22" t="s">
        <v>475</v>
      </c>
      <c r="I97" s="22" t="s">
        <v>249</v>
      </c>
      <c r="J97" s="41" t="s">
        <v>644</v>
      </c>
      <c r="K97" s="22" t="s">
        <v>249</v>
      </c>
      <c r="L97" s="24"/>
      <c r="M97" s="22" t="s">
        <v>549</v>
      </c>
      <c r="N97" s="18">
        <v>660</v>
      </c>
      <c r="O97" s="18">
        <v>4305</v>
      </c>
    </row>
    <row r="98" spans="1:15" x14ac:dyDescent="0.25">
      <c r="A98" s="18">
        <v>97</v>
      </c>
      <c r="B98" s="40" t="s">
        <v>317</v>
      </c>
      <c r="C98" s="20"/>
      <c r="D98" s="21" t="s">
        <v>319</v>
      </c>
      <c r="E98" s="21" t="s">
        <v>672</v>
      </c>
      <c r="F98" s="22" t="s">
        <v>17</v>
      </c>
      <c r="G98" s="22">
        <v>184</v>
      </c>
      <c r="H98" s="22" t="s">
        <v>475</v>
      </c>
      <c r="I98" s="22" t="s">
        <v>249</v>
      </c>
      <c r="J98" s="41" t="s">
        <v>644</v>
      </c>
      <c r="K98" s="22" t="s">
        <v>249</v>
      </c>
      <c r="L98" s="22" t="s">
        <v>540</v>
      </c>
      <c r="M98" s="22" t="s">
        <v>553</v>
      </c>
      <c r="N98" s="18">
        <v>319</v>
      </c>
      <c r="O98" s="18">
        <v>102</v>
      </c>
    </row>
    <row r="99" spans="1:15" x14ac:dyDescent="0.25">
      <c r="A99" s="18">
        <v>98</v>
      </c>
      <c r="B99" s="40" t="s">
        <v>320</v>
      </c>
      <c r="C99" s="20"/>
      <c r="D99" s="21" t="s">
        <v>321</v>
      </c>
      <c r="E99" s="21" t="s">
        <v>673</v>
      </c>
      <c r="F99" s="22" t="s">
        <v>17</v>
      </c>
      <c r="G99" s="22">
        <v>173</v>
      </c>
      <c r="H99" s="22" t="s">
        <v>475</v>
      </c>
      <c r="I99" s="22" t="s">
        <v>249</v>
      </c>
      <c r="J99" s="41" t="s">
        <v>644</v>
      </c>
      <c r="K99" s="22" t="s">
        <v>249</v>
      </c>
      <c r="L99" s="24"/>
      <c r="M99" s="22" t="s">
        <v>249</v>
      </c>
      <c r="N99" s="18">
        <v>344</v>
      </c>
      <c r="O99" s="18">
        <v>147</v>
      </c>
    </row>
    <row r="100" spans="1:15" x14ac:dyDescent="0.25">
      <c r="A100" s="18">
        <v>99</v>
      </c>
      <c r="B100" s="40" t="s">
        <v>322</v>
      </c>
      <c r="C100" s="20"/>
      <c r="D100" s="21" t="s">
        <v>324</v>
      </c>
      <c r="E100" s="21" t="s">
        <v>674</v>
      </c>
      <c r="F100" s="22" t="s">
        <v>30</v>
      </c>
      <c r="G100" s="22">
        <v>149</v>
      </c>
      <c r="H100" s="22" t="s">
        <v>475</v>
      </c>
      <c r="I100" s="23">
        <v>45066</v>
      </c>
      <c r="J100" s="22" t="s">
        <v>539</v>
      </c>
      <c r="K100" s="22" t="s">
        <v>483</v>
      </c>
      <c r="L100" s="22" t="s">
        <v>540</v>
      </c>
      <c r="M100" s="22" t="s">
        <v>249</v>
      </c>
      <c r="N100" s="18">
        <v>323</v>
      </c>
      <c r="O100" s="18">
        <v>3232</v>
      </c>
    </row>
    <row r="101" spans="1:15" x14ac:dyDescent="0.25">
      <c r="A101" s="18">
        <v>100</v>
      </c>
      <c r="B101" s="40" t="s">
        <v>325</v>
      </c>
      <c r="C101" s="20"/>
      <c r="D101" s="21" t="s">
        <v>326</v>
      </c>
      <c r="E101" s="21" t="s">
        <v>675</v>
      </c>
      <c r="F101" s="22" t="s">
        <v>17</v>
      </c>
      <c r="G101" s="22">
        <v>173</v>
      </c>
      <c r="H101" s="22" t="s">
        <v>475</v>
      </c>
      <c r="I101" s="22" t="s">
        <v>249</v>
      </c>
      <c r="J101" s="41" t="s">
        <v>644</v>
      </c>
      <c r="K101" s="22" t="s">
        <v>249</v>
      </c>
      <c r="L101" s="24"/>
      <c r="M101" s="22" t="s">
        <v>249</v>
      </c>
      <c r="N101" s="18">
        <v>550</v>
      </c>
      <c r="O101" s="18">
        <v>1990</v>
      </c>
    </row>
    <row r="102" spans="1:15" x14ac:dyDescent="0.25">
      <c r="A102" s="18">
        <v>101</v>
      </c>
      <c r="B102" s="40" t="s">
        <v>327</v>
      </c>
      <c r="C102" s="20"/>
      <c r="D102" s="21" t="s">
        <v>328</v>
      </c>
      <c r="E102" s="21" t="s">
        <v>676</v>
      </c>
      <c r="F102" s="22" t="s">
        <v>30</v>
      </c>
      <c r="G102" s="22">
        <v>169</v>
      </c>
      <c r="H102" s="22" t="s">
        <v>475</v>
      </c>
      <c r="I102" s="22" t="s">
        <v>249</v>
      </c>
      <c r="J102" s="41" t="s">
        <v>644</v>
      </c>
      <c r="K102" s="22" t="s">
        <v>249</v>
      </c>
      <c r="L102" s="24"/>
      <c r="M102" s="22" t="s">
        <v>249</v>
      </c>
      <c r="N102" s="18">
        <v>710</v>
      </c>
      <c r="O102" s="18">
        <v>264</v>
      </c>
    </row>
    <row r="103" spans="1:15" x14ac:dyDescent="0.25">
      <c r="A103" s="18">
        <v>102</v>
      </c>
      <c r="B103" s="40" t="s">
        <v>329</v>
      </c>
      <c r="C103" s="20"/>
      <c r="D103" s="21" t="s">
        <v>330</v>
      </c>
      <c r="E103" s="21" t="s">
        <v>677</v>
      </c>
      <c r="F103" s="22" t="s">
        <v>30</v>
      </c>
      <c r="G103" s="22">
        <v>117</v>
      </c>
      <c r="H103" s="22">
        <v>2</v>
      </c>
      <c r="I103" s="22" t="s">
        <v>249</v>
      </c>
      <c r="J103" s="41" t="s">
        <v>644</v>
      </c>
      <c r="K103" s="22" t="s">
        <v>249</v>
      </c>
      <c r="L103" s="24"/>
      <c r="M103" s="22" t="s">
        <v>541</v>
      </c>
      <c r="N103" s="18">
        <v>488</v>
      </c>
      <c r="O103" s="18">
        <v>887</v>
      </c>
    </row>
    <row r="104" spans="1:15" x14ac:dyDescent="0.25">
      <c r="A104" s="18">
        <v>103</v>
      </c>
      <c r="B104" s="40" t="s">
        <v>331</v>
      </c>
      <c r="C104" s="20"/>
      <c r="D104" s="21" t="s">
        <v>333</v>
      </c>
      <c r="E104" s="21" t="s">
        <v>678</v>
      </c>
      <c r="F104" s="22" t="s">
        <v>30</v>
      </c>
      <c r="G104" s="22">
        <v>161</v>
      </c>
      <c r="H104" s="22" t="s">
        <v>475</v>
      </c>
      <c r="I104" s="22" t="s">
        <v>249</v>
      </c>
      <c r="J104" s="41" t="s">
        <v>644</v>
      </c>
      <c r="K104" s="22" t="s">
        <v>249</v>
      </c>
      <c r="L104" s="22" t="s">
        <v>540</v>
      </c>
      <c r="M104" s="22" t="s">
        <v>597</v>
      </c>
      <c r="N104" s="18">
        <v>455</v>
      </c>
      <c r="O104" s="18">
        <v>4070</v>
      </c>
    </row>
    <row r="105" spans="1:15" x14ac:dyDescent="0.25">
      <c r="A105" s="18">
        <v>104</v>
      </c>
      <c r="B105" s="40" t="s">
        <v>334</v>
      </c>
      <c r="C105" s="20"/>
      <c r="D105" s="21" t="s">
        <v>335</v>
      </c>
      <c r="E105" s="21" t="s">
        <v>679</v>
      </c>
      <c r="F105" s="22" t="s">
        <v>17</v>
      </c>
      <c r="G105" s="22">
        <v>170</v>
      </c>
      <c r="H105" s="22" t="s">
        <v>475</v>
      </c>
      <c r="I105" s="22" t="s">
        <v>249</v>
      </c>
      <c r="J105" s="41" t="s">
        <v>644</v>
      </c>
      <c r="K105" s="22" t="s">
        <v>249</v>
      </c>
      <c r="L105" s="24"/>
      <c r="M105" s="22" t="s">
        <v>559</v>
      </c>
      <c r="N105" s="18">
        <v>474</v>
      </c>
      <c r="O105" s="18">
        <v>4471</v>
      </c>
    </row>
    <row r="106" spans="1:15" x14ac:dyDescent="0.25">
      <c r="A106" s="18">
        <v>105</v>
      </c>
      <c r="B106" s="40" t="s">
        <v>336</v>
      </c>
      <c r="C106" s="20"/>
      <c r="D106" s="21" t="s">
        <v>338</v>
      </c>
      <c r="E106" s="21" t="s">
        <v>680</v>
      </c>
      <c r="F106" s="22" t="s">
        <v>17</v>
      </c>
      <c r="G106" s="22">
        <v>190</v>
      </c>
      <c r="H106" s="22" t="s">
        <v>475</v>
      </c>
      <c r="I106" s="22" t="s">
        <v>249</v>
      </c>
      <c r="J106" s="41" t="s">
        <v>644</v>
      </c>
      <c r="K106" s="22" t="s">
        <v>249</v>
      </c>
      <c r="L106" s="22" t="s">
        <v>540</v>
      </c>
      <c r="M106" s="22" t="s">
        <v>249</v>
      </c>
      <c r="N106" s="18">
        <v>331</v>
      </c>
      <c r="O106" s="18">
        <v>3760</v>
      </c>
    </row>
    <row r="107" spans="1:15" x14ac:dyDescent="0.25">
      <c r="A107" s="18">
        <v>106</v>
      </c>
      <c r="B107" s="40" t="s">
        <v>339</v>
      </c>
      <c r="C107" s="20"/>
      <c r="D107" s="21" t="s">
        <v>340</v>
      </c>
      <c r="E107" s="21" t="s">
        <v>681</v>
      </c>
      <c r="F107" s="22" t="s">
        <v>30</v>
      </c>
      <c r="G107" s="22">
        <v>167</v>
      </c>
      <c r="H107" s="22" t="s">
        <v>475</v>
      </c>
      <c r="I107" s="22" t="s">
        <v>249</v>
      </c>
      <c r="J107" s="41" t="s">
        <v>644</v>
      </c>
      <c r="K107" s="22" t="s">
        <v>249</v>
      </c>
      <c r="L107" s="24"/>
      <c r="M107" s="22" t="s">
        <v>249</v>
      </c>
      <c r="N107" s="18">
        <v>463</v>
      </c>
      <c r="O107" s="18">
        <v>2999</v>
      </c>
    </row>
    <row r="108" spans="1:15" x14ac:dyDescent="0.25">
      <c r="A108" s="18">
        <v>107</v>
      </c>
      <c r="B108" s="40" t="s">
        <v>341</v>
      </c>
      <c r="C108" s="20"/>
      <c r="D108" s="21" t="s">
        <v>342</v>
      </c>
      <c r="E108" s="21" t="s">
        <v>682</v>
      </c>
      <c r="F108" s="22" t="s">
        <v>30</v>
      </c>
      <c r="G108" s="22">
        <v>186</v>
      </c>
      <c r="H108" s="22" t="s">
        <v>475</v>
      </c>
      <c r="I108" s="22" t="s">
        <v>249</v>
      </c>
      <c r="J108" s="41" t="s">
        <v>644</v>
      </c>
      <c r="K108" s="22" t="s">
        <v>249</v>
      </c>
      <c r="L108" s="24"/>
      <c r="M108" s="22" t="s">
        <v>249</v>
      </c>
      <c r="N108" s="18">
        <v>259</v>
      </c>
      <c r="O108" s="18">
        <v>121</v>
      </c>
    </row>
    <row r="109" spans="1:15" x14ac:dyDescent="0.25">
      <c r="A109" s="18">
        <v>108</v>
      </c>
      <c r="B109" s="40" t="s">
        <v>343</v>
      </c>
      <c r="C109" s="20"/>
      <c r="D109" s="21" t="s">
        <v>345</v>
      </c>
      <c r="E109" s="21" t="s">
        <v>683</v>
      </c>
      <c r="F109" s="22" t="s">
        <v>17</v>
      </c>
      <c r="G109" s="22">
        <v>168</v>
      </c>
      <c r="H109" s="22" t="s">
        <v>475</v>
      </c>
      <c r="I109" s="22" t="s">
        <v>249</v>
      </c>
      <c r="J109" s="41" t="s">
        <v>644</v>
      </c>
      <c r="K109" s="22" t="s">
        <v>249</v>
      </c>
      <c r="L109" s="22" t="s">
        <v>540</v>
      </c>
      <c r="M109" s="22" t="s">
        <v>553</v>
      </c>
      <c r="N109" s="18">
        <v>390</v>
      </c>
      <c r="O109" s="18">
        <v>3217</v>
      </c>
    </row>
    <row r="110" spans="1:15" x14ac:dyDescent="0.25">
      <c r="A110" s="18">
        <v>109</v>
      </c>
      <c r="B110" s="40" t="s">
        <v>346</v>
      </c>
      <c r="C110" s="20"/>
      <c r="D110" s="21" t="s">
        <v>347</v>
      </c>
      <c r="E110" s="21" t="s">
        <v>684</v>
      </c>
      <c r="F110" s="22" t="s">
        <v>30</v>
      </c>
      <c r="G110" s="22">
        <v>160</v>
      </c>
      <c r="H110" s="22" t="s">
        <v>475</v>
      </c>
      <c r="I110" s="22" t="s">
        <v>249</v>
      </c>
      <c r="J110" s="41" t="s">
        <v>644</v>
      </c>
      <c r="K110" s="22" t="s">
        <v>249</v>
      </c>
      <c r="L110" s="24"/>
      <c r="M110" s="22" t="s">
        <v>249</v>
      </c>
      <c r="N110" s="18">
        <v>306</v>
      </c>
      <c r="O110" s="18">
        <v>1400</v>
      </c>
    </row>
    <row r="111" spans="1:15" x14ac:dyDescent="0.25">
      <c r="A111" s="18">
        <v>110</v>
      </c>
      <c r="B111" s="40" t="s">
        <v>348</v>
      </c>
      <c r="C111" s="20"/>
      <c r="D111" s="21" t="s">
        <v>350</v>
      </c>
      <c r="E111" s="21" t="s">
        <v>685</v>
      </c>
      <c r="F111" s="22" t="s">
        <v>30</v>
      </c>
      <c r="G111" s="22">
        <v>161</v>
      </c>
      <c r="H111" s="22" t="s">
        <v>475</v>
      </c>
      <c r="I111" s="22" t="s">
        <v>249</v>
      </c>
      <c r="J111" s="41" t="s">
        <v>644</v>
      </c>
      <c r="K111" s="22" t="s">
        <v>249</v>
      </c>
      <c r="L111" s="22" t="s">
        <v>540</v>
      </c>
      <c r="M111" s="22" t="s">
        <v>541</v>
      </c>
      <c r="N111" s="18">
        <v>326</v>
      </c>
      <c r="O111" s="18">
        <v>2711</v>
      </c>
    </row>
    <row r="112" spans="1:15" x14ac:dyDescent="0.25">
      <c r="A112" s="18">
        <v>111</v>
      </c>
      <c r="B112" s="40" t="s">
        <v>351</v>
      </c>
      <c r="C112" s="20"/>
      <c r="D112" s="21" t="s">
        <v>352</v>
      </c>
      <c r="E112" s="21" t="s">
        <v>686</v>
      </c>
      <c r="F112" s="22" t="s">
        <v>30</v>
      </c>
      <c r="G112" s="22">
        <v>172</v>
      </c>
      <c r="H112" s="22" t="s">
        <v>475</v>
      </c>
      <c r="I112" s="23">
        <v>45167</v>
      </c>
      <c r="J112" s="22" t="s">
        <v>539</v>
      </c>
      <c r="K112" s="42" t="s">
        <v>482</v>
      </c>
      <c r="L112" s="24"/>
      <c r="M112" s="22" t="s">
        <v>249</v>
      </c>
      <c r="N112" s="18">
        <v>317</v>
      </c>
      <c r="O112" s="18">
        <v>150</v>
      </c>
    </row>
    <row r="113" spans="1:15" x14ac:dyDescent="0.25">
      <c r="A113" s="18">
        <v>112</v>
      </c>
      <c r="B113" s="40" t="s">
        <v>353</v>
      </c>
      <c r="C113" s="20"/>
      <c r="D113" s="21" t="s">
        <v>354</v>
      </c>
      <c r="E113" s="21" t="s">
        <v>687</v>
      </c>
      <c r="F113" s="22" t="s">
        <v>30</v>
      </c>
      <c r="G113" s="22">
        <v>165</v>
      </c>
      <c r="H113" s="22" t="s">
        <v>475</v>
      </c>
      <c r="I113" s="22" t="s">
        <v>249</v>
      </c>
      <c r="J113" s="41" t="s">
        <v>644</v>
      </c>
      <c r="K113" s="22" t="s">
        <v>249</v>
      </c>
      <c r="L113" s="24"/>
      <c r="M113" s="22" t="s">
        <v>249</v>
      </c>
      <c r="N113" s="18">
        <v>501</v>
      </c>
      <c r="O113" s="18">
        <v>791</v>
      </c>
    </row>
    <row r="114" spans="1:15" x14ac:dyDescent="0.25">
      <c r="A114" s="18">
        <v>113</v>
      </c>
      <c r="B114" s="40" t="s">
        <v>355</v>
      </c>
      <c r="C114" s="20"/>
      <c r="D114" s="21" t="s">
        <v>357</v>
      </c>
      <c r="E114" s="21" t="s">
        <v>688</v>
      </c>
      <c r="F114" s="22" t="s">
        <v>17</v>
      </c>
      <c r="G114" s="22">
        <v>183</v>
      </c>
      <c r="H114" s="22" t="s">
        <v>475</v>
      </c>
      <c r="I114" s="22" t="s">
        <v>249</v>
      </c>
      <c r="J114" s="41" t="s">
        <v>644</v>
      </c>
      <c r="K114" s="22" t="s">
        <v>249</v>
      </c>
      <c r="L114" s="22" t="s">
        <v>540</v>
      </c>
      <c r="M114" s="22" t="s">
        <v>559</v>
      </c>
      <c r="N114" s="18">
        <v>528</v>
      </c>
      <c r="O114" s="18">
        <v>4022</v>
      </c>
    </row>
    <row r="115" spans="1:15" x14ac:dyDescent="0.25">
      <c r="A115" s="18">
        <v>114</v>
      </c>
      <c r="B115" s="40" t="s">
        <v>358</v>
      </c>
      <c r="C115" s="20"/>
      <c r="D115" s="21" t="s">
        <v>359</v>
      </c>
      <c r="E115" s="21" t="s">
        <v>689</v>
      </c>
      <c r="F115" s="22" t="s">
        <v>17</v>
      </c>
      <c r="G115" s="22">
        <v>190</v>
      </c>
      <c r="H115" s="22" t="s">
        <v>475</v>
      </c>
      <c r="I115" s="22" t="s">
        <v>249</v>
      </c>
      <c r="J115" s="41" t="s">
        <v>644</v>
      </c>
      <c r="K115" s="22" t="s">
        <v>249</v>
      </c>
      <c r="L115" s="24"/>
      <c r="M115" s="22" t="s">
        <v>690</v>
      </c>
      <c r="N115" s="18">
        <v>361</v>
      </c>
      <c r="O115" s="18">
        <v>739</v>
      </c>
    </row>
    <row r="116" spans="1:15" x14ac:dyDescent="0.25">
      <c r="A116" s="18">
        <v>115</v>
      </c>
      <c r="B116" s="40" t="s">
        <v>360</v>
      </c>
      <c r="C116" s="20"/>
      <c r="D116" s="21" t="s">
        <v>361</v>
      </c>
      <c r="E116" s="21" t="s">
        <v>691</v>
      </c>
      <c r="F116" s="22" t="s">
        <v>30</v>
      </c>
      <c r="G116" s="22">
        <v>163</v>
      </c>
      <c r="H116" s="22" t="s">
        <v>475</v>
      </c>
      <c r="I116" s="22" t="s">
        <v>249</v>
      </c>
      <c r="J116" s="41" t="s">
        <v>644</v>
      </c>
      <c r="K116" s="22" t="s">
        <v>249</v>
      </c>
      <c r="L116" s="24"/>
      <c r="M116" s="22" t="s">
        <v>559</v>
      </c>
      <c r="N116" s="18">
        <v>706</v>
      </c>
      <c r="O116" s="18">
        <v>5977</v>
      </c>
    </row>
    <row r="117" spans="1:15" x14ac:dyDescent="0.25">
      <c r="A117" s="18">
        <v>116</v>
      </c>
      <c r="B117" s="40" t="s">
        <v>362</v>
      </c>
      <c r="C117" s="20"/>
      <c r="D117" s="21" t="s">
        <v>363</v>
      </c>
      <c r="E117" s="21" t="s">
        <v>692</v>
      </c>
      <c r="F117" s="22" t="s">
        <v>17</v>
      </c>
      <c r="G117" s="22">
        <v>164</v>
      </c>
      <c r="H117" s="22" t="s">
        <v>475</v>
      </c>
      <c r="I117" s="22" t="s">
        <v>249</v>
      </c>
      <c r="J117" s="41" t="s">
        <v>644</v>
      </c>
      <c r="K117" s="22" t="s">
        <v>249</v>
      </c>
      <c r="L117" s="24"/>
      <c r="M117" s="22" t="s">
        <v>249</v>
      </c>
      <c r="N117" s="18" t="s">
        <v>693</v>
      </c>
      <c r="O117" s="18" t="s">
        <v>693</v>
      </c>
    </row>
    <row r="118" spans="1:15" x14ac:dyDescent="0.25">
      <c r="A118" s="18">
        <v>117</v>
      </c>
      <c r="B118" s="40" t="s">
        <v>364</v>
      </c>
      <c r="C118" s="20"/>
      <c r="D118" s="21" t="s">
        <v>365</v>
      </c>
      <c r="E118" s="21" t="s">
        <v>694</v>
      </c>
      <c r="F118" s="22" t="s">
        <v>17</v>
      </c>
      <c r="G118" s="22">
        <v>180</v>
      </c>
      <c r="H118" s="22">
        <v>70</v>
      </c>
      <c r="I118" s="23">
        <v>45175</v>
      </c>
      <c r="J118" s="22" t="s">
        <v>539</v>
      </c>
      <c r="K118" s="42" t="s">
        <v>511</v>
      </c>
      <c r="L118" s="24"/>
      <c r="M118" s="22" t="s">
        <v>249</v>
      </c>
      <c r="N118" s="18">
        <v>415</v>
      </c>
      <c r="O118" s="18">
        <v>1494</v>
      </c>
    </row>
    <row r="119" spans="1:15" x14ac:dyDescent="0.25">
      <c r="A119" s="18">
        <v>118</v>
      </c>
      <c r="B119" s="40" t="s">
        <v>366</v>
      </c>
      <c r="C119" s="20"/>
      <c r="D119" s="21" t="s">
        <v>367</v>
      </c>
      <c r="E119" s="21" t="s">
        <v>695</v>
      </c>
      <c r="F119" s="22" t="s">
        <v>17</v>
      </c>
      <c r="G119" s="22">
        <v>131</v>
      </c>
      <c r="H119" s="22" t="s">
        <v>475</v>
      </c>
      <c r="I119" s="22" t="s">
        <v>249</v>
      </c>
      <c r="J119" s="41" t="s">
        <v>659</v>
      </c>
      <c r="K119" s="22" t="s">
        <v>249</v>
      </c>
      <c r="L119" s="24"/>
      <c r="M119" s="22" t="s">
        <v>249</v>
      </c>
      <c r="N119" s="18">
        <v>381</v>
      </c>
      <c r="O119" s="18">
        <v>60250</v>
      </c>
    </row>
    <row r="120" spans="1:15" x14ac:dyDescent="0.25">
      <c r="A120" s="18">
        <v>119</v>
      </c>
      <c r="B120" s="40" t="s">
        <v>368</v>
      </c>
      <c r="C120" s="20"/>
      <c r="D120" s="21" t="s">
        <v>369</v>
      </c>
      <c r="E120" s="21" t="s">
        <v>696</v>
      </c>
      <c r="F120" s="22" t="s">
        <v>30</v>
      </c>
      <c r="G120" s="22">
        <v>173</v>
      </c>
      <c r="H120" s="22" t="s">
        <v>475</v>
      </c>
      <c r="I120" s="22" t="s">
        <v>512</v>
      </c>
      <c r="J120" s="22" t="s">
        <v>539</v>
      </c>
      <c r="K120" s="42" t="s">
        <v>482</v>
      </c>
      <c r="L120" s="24"/>
      <c r="M120" s="22" t="s">
        <v>249</v>
      </c>
      <c r="N120" s="18">
        <v>339</v>
      </c>
      <c r="O120" s="18">
        <v>2123</v>
      </c>
    </row>
    <row r="121" spans="1:15" x14ac:dyDescent="0.25">
      <c r="A121" s="18">
        <v>120</v>
      </c>
      <c r="B121" s="40" t="s">
        <v>370</v>
      </c>
      <c r="C121" s="20"/>
      <c r="D121" s="21" t="s">
        <v>371</v>
      </c>
      <c r="E121" s="21" t="s">
        <v>697</v>
      </c>
      <c r="F121" s="22" t="s">
        <v>17</v>
      </c>
      <c r="G121" s="22">
        <v>129</v>
      </c>
      <c r="H121" s="22" t="s">
        <v>475</v>
      </c>
      <c r="I121" s="22" t="s">
        <v>249</v>
      </c>
      <c r="J121" s="41" t="s">
        <v>644</v>
      </c>
      <c r="K121" s="22" t="s">
        <v>249</v>
      </c>
      <c r="L121" s="24"/>
      <c r="M121" s="22" t="s">
        <v>636</v>
      </c>
      <c r="N121" s="18">
        <v>992</v>
      </c>
      <c r="O121" s="18">
        <v>6753</v>
      </c>
    </row>
    <row r="122" spans="1:15" x14ac:dyDescent="0.25">
      <c r="A122" s="18">
        <v>121</v>
      </c>
      <c r="B122" s="40" t="s">
        <v>372</v>
      </c>
      <c r="C122" s="20"/>
      <c r="D122" s="21" t="s">
        <v>373</v>
      </c>
      <c r="E122" s="21" t="s">
        <v>698</v>
      </c>
      <c r="F122" s="22" t="s">
        <v>30</v>
      </c>
      <c r="G122" s="22">
        <v>179</v>
      </c>
      <c r="H122" s="22" t="s">
        <v>475</v>
      </c>
      <c r="I122" s="22" t="s">
        <v>249</v>
      </c>
      <c r="J122" s="41" t="s">
        <v>644</v>
      </c>
      <c r="K122" s="22" t="s">
        <v>249</v>
      </c>
      <c r="L122" s="24"/>
      <c r="M122" s="22" t="s">
        <v>249</v>
      </c>
      <c r="N122" s="18">
        <v>442</v>
      </c>
      <c r="O122" s="18">
        <v>699</v>
      </c>
    </row>
    <row r="123" spans="1:15" x14ac:dyDescent="0.25">
      <c r="A123" s="18">
        <v>122</v>
      </c>
      <c r="B123" s="40" t="s">
        <v>374</v>
      </c>
      <c r="C123" s="20"/>
      <c r="D123" s="21" t="s">
        <v>376</v>
      </c>
      <c r="E123" s="21" t="s">
        <v>699</v>
      </c>
      <c r="F123" s="22" t="s">
        <v>17</v>
      </c>
      <c r="G123" s="22">
        <v>185</v>
      </c>
      <c r="H123" s="22" t="s">
        <v>475</v>
      </c>
      <c r="I123" s="23">
        <v>45090</v>
      </c>
      <c r="J123" s="22" t="s">
        <v>539</v>
      </c>
      <c r="K123" s="42" t="s">
        <v>513</v>
      </c>
      <c r="L123" s="22" t="s">
        <v>540</v>
      </c>
      <c r="M123" s="22" t="s">
        <v>553</v>
      </c>
      <c r="N123" s="18">
        <v>370</v>
      </c>
      <c r="O123" s="18">
        <v>3910</v>
      </c>
    </row>
    <row r="124" spans="1:15" x14ac:dyDescent="0.25">
      <c r="A124" s="18">
        <v>123</v>
      </c>
      <c r="B124" s="40" t="s">
        <v>377</v>
      </c>
      <c r="C124" s="20"/>
      <c r="D124" s="21" t="s">
        <v>379</v>
      </c>
      <c r="E124" s="21" t="s">
        <v>700</v>
      </c>
      <c r="F124" s="22" t="s">
        <v>30</v>
      </c>
      <c r="G124" s="22">
        <v>164</v>
      </c>
      <c r="H124" s="22" t="s">
        <v>509</v>
      </c>
      <c r="I124" s="22" t="s">
        <v>249</v>
      </c>
      <c r="J124" s="41" t="s">
        <v>644</v>
      </c>
      <c r="K124" s="22" t="s">
        <v>249</v>
      </c>
      <c r="L124" s="22" t="s">
        <v>540</v>
      </c>
      <c r="M124" s="22" t="s">
        <v>559</v>
      </c>
      <c r="N124" s="18">
        <v>355</v>
      </c>
      <c r="O124" s="18">
        <v>2111</v>
      </c>
    </row>
    <row r="125" spans="1:15" x14ac:dyDescent="0.25">
      <c r="A125" s="18">
        <v>124</v>
      </c>
      <c r="B125" s="40" t="s">
        <v>380</v>
      </c>
      <c r="C125" s="20"/>
      <c r="D125" s="21" t="s">
        <v>382</v>
      </c>
      <c r="E125" s="21" t="s">
        <v>701</v>
      </c>
      <c r="F125" s="22" t="s">
        <v>30</v>
      </c>
      <c r="G125" s="22">
        <v>128</v>
      </c>
      <c r="H125" s="22" t="s">
        <v>475</v>
      </c>
      <c r="I125" s="23">
        <v>45235</v>
      </c>
      <c r="J125" s="22" t="s">
        <v>539</v>
      </c>
      <c r="K125" s="22" t="s">
        <v>514</v>
      </c>
      <c r="L125" s="22" t="s">
        <v>540</v>
      </c>
      <c r="M125" s="22" t="s">
        <v>562</v>
      </c>
      <c r="N125" s="18">
        <v>543</v>
      </c>
      <c r="O125" s="18">
        <v>409</v>
      </c>
    </row>
    <row r="126" spans="1:15" x14ac:dyDescent="0.25">
      <c r="A126" s="18">
        <v>125</v>
      </c>
      <c r="B126" s="40" t="s">
        <v>383</v>
      </c>
      <c r="C126" s="20"/>
      <c r="D126" s="21" t="s">
        <v>385</v>
      </c>
      <c r="E126" s="21" t="s">
        <v>702</v>
      </c>
      <c r="F126" s="22" t="s">
        <v>30</v>
      </c>
      <c r="G126" s="22">
        <v>155</v>
      </c>
      <c r="H126" s="22" t="s">
        <v>509</v>
      </c>
      <c r="I126" s="22" t="s">
        <v>249</v>
      </c>
      <c r="J126" s="41" t="s">
        <v>644</v>
      </c>
      <c r="K126" s="22" t="s">
        <v>249</v>
      </c>
      <c r="L126" s="22" t="s">
        <v>540</v>
      </c>
      <c r="M126" s="22" t="s">
        <v>581</v>
      </c>
      <c r="N126" s="18">
        <v>506</v>
      </c>
      <c r="O126" s="18">
        <v>366</v>
      </c>
    </row>
    <row r="127" spans="1:15" x14ac:dyDescent="0.25">
      <c r="A127" s="18">
        <v>126</v>
      </c>
      <c r="B127" s="40" t="s">
        <v>386</v>
      </c>
      <c r="C127" s="20"/>
      <c r="D127" s="21" t="s">
        <v>388</v>
      </c>
      <c r="E127" s="21" t="s">
        <v>703</v>
      </c>
      <c r="F127" s="22" t="s">
        <v>17</v>
      </c>
      <c r="G127" s="22">
        <v>146</v>
      </c>
      <c r="H127" s="22" t="s">
        <v>509</v>
      </c>
      <c r="I127" s="22" t="s">
        <v>249</v>
      </c>
      <c r="J127" s="41" t="s">
        <v>644</v>
      </c>
      <c r="K127" s="22" t="s">
        <v>249</v>
      </c>
      <c r="L127" s="22" t="s">
        <v>540</v>
      </c>
      <c r="M127" s="22" t="s">
        <v>581</v>
      </c>
      <c r="N127" s="18">
        <v>505</v>
      </c>
      <c r="O127" s="18">
        <v>380</v>
      </c>
    </row>
    <row r="128" spans="1:15" x14ac:dyDescent="0.25">
      <c r="A128" s="18">
        <v>127</v>
      </c>
      <c r="B128" s="40" t="s">
        <v>389</v>
      </c>
      <c r="C128" s="20"/>
      <c r="D128" s="21" t="s">
        <v>390</v>
      </c>
      <c r="E128" s="21" t="s">
        <v>704</v>
      </c>
      <c r="F128" s="22" t="s">
        <v>17</v>
      </c>
      <c r="G128" s="22">
        <v>186</v>
      </c>
      <c r="H128" s="22" t="s">
        <v>475</v>
      </c>
      <c r="I128" s="22" t="s">
        <v>249</v>
      </c>
      <c r="J128" s="22" t="s">
        <v>644</v>
      </c>
      <c r="K128" s="22" t="s">
        <v>249</v>
      </c>
      <c r="L128" s="24"/>
      <c r="M128" s="22" t="s">
        <v>601</v>
      </c>
      <c r="N128" s="18">
        <v>447</v>
      </c>
      <c r="O128" s="18">
        <v>3120</v>
      </c>
    </row>
    <row r="129" spans="1:15" x14ac:dyDescent="0.25">
      <c r="A129" s="18">
        <v>128</v>
      </c>
      <c r="B129" s="40" t="s">
        <v>391</v>
      </c>
      <c r="C129" s="20"/>
      <c r="D129" s="21" t="s">
        <v>392</v>
      </c>
      <c r="E129" s="21" t="s">
        <v>705</v>
      </c>
      <c r="F129" s="22" t="s">
        <v>17</v>
      </c>
      <c r="G129" s="22">
        <v>188</v>
      </c>
      <c r="H129" s="22" t="s">
        <v>475</v>
      </c>
      <c r="I129" s="22" t="s">
        <v>249</v>
      </c>
      <c r="J129" s="41" t="s">
        <v>644</v>
      </c>
      <c r="K129" s="22" t="s">
        <v>249</v>
      </c>
      <c r="L129" s="24"/>
      <c r="M129" s="22" t="s">
        <v>249</v>
      </c>
      <c r="N129" s="18">
        <v>359</v>
      </c>
      <c r="O129" s="18">
        <v>3111</v>
      </c>
    </row>
    <row r="130" spans="1:15" x14ac:dyDescent="0.25">
      <c r="A130" s="18">
        <v>129</v>
      </c>
      <c r="B130" s="40" t="s">
        <v>393</v>
      </c>
      <c r="C130" s="20"/>
      <c r="D130" s="21" t="s">
        <v>395</v>
      </c>
      <c r="E130" s="21" t="s">
        <v>706</v>
      </c>
      <c r="F130" s="22" t="s">
        <v>17</v>
      </c>
      <c r="G130" s="22">
        <v>186</v>
      </c>
      <c r="H130" s="22" t="s">
        <v>475</v>
      </c>
      <c r="I130" s="22" t="s">
        <v>249</v>
      </c>
      <c r="J130" s="41" t="s">
        <v>644</v>
      </c>
      <c r="K130" s="22" t="s">
        <v>249</v>
      </c>
      <c r="L130" s="22" t="s">
        <v>540</v>
      </c>
      <c r="M130" s="22" t="s">
        <v>648</v>
      </c>
      <c r="N130" s="18">
        <v>557</v>
      </c>
      <c r="O130" s="18">
        <v>3814</v>
      </c>
    </row>
    <row r="131" spans="1:15" x14ac:dyDescent="0.25">
      <c r="A131" s="18">
        <v>130</v>
      </c>
      <c r="B131" s="40" t="s">
        <v>396</v>
      </c>
      <c r="C131" s="20"/>
      <c r="D131" s="21" t="s">
        <v>398</v>
      </c>
      <c r="E131" s="21" t="s">
        <v>707</v>
      </c>
      <c r="F131" s="22" t="s">
        <v>30</v>
      </c>
      <c r="G131" s="22">
        <v>157</v>
      </c>
      <c r="H131" s="22" t="s">
        <v>475</v>
      </c>
      <c r="I131" s="22" t="s">
        <v>249</v>
      </c>
      <c r="J131" s="41" t="s">
        <v>644</v>
      </c>
      <c r="K131" s="22" t="s">
        <v>249</v>
      </c>
      <c r="L131" s="22" t="s">
        <v>540</v>
      </c>
      <c r="M131" s="22" t="s">
        <v>567</v>
      </c>
      <c r="N131" s="18">
        <v>499</v>
      </c>
      <c r="O131" s="18">
        <v>121</v>
      </c>
    </row>
    <row r="132" spans="1:15" x14ac:dyDescent="0.25">
      <c r="A132" s="18">
        <v>131</v>
      </c>
      <c r="B132" s="40" t="s">
        <v>399</v>
      </c>
      <c r="C132" s="20"/>
      <c r="D132" s="21" t="s">
        <v>401</v>
      </c>
      <c r="E132" s="21" t="s">
        <v>708</v>
      </c>
      <c r="F132" s="22" t="s">
        <v>17</v>
      </c>
      <c r="G132" s="22">
        <v>155</v>
      </c>
      <c r="H132" s="22" t="s">
        <v>509</v>
      </c>
      <c r="I132" s="22" t="s">
        <v>249</v>
      </c>
      <c r="J132" s="41" t="s">
        <v>644</v>
      </c>
      <c r="K132" s="22" t="s">
        <v>249</v>
      </c>
      <c r="L132" s="22" t="s">
        <v>540</v>
      </c>
      <c r="M132" s="22" t="s">
        <v>249</v>
      </c>
      <c r="N132" s="18">
        <v>351</v>
      </c>
      <c r="O132" s="18">
        <v>9</v>
      </c>
    </row>
    <row r="133" spans="1:15" x14ac:dyDescent="0.25">
      <c r="A133" s="18">
        <v>132</v>
      </c>
      <c r="B133" s="40" t="s">
        <v>402</v>
      </c>
      <c r="C133" s="20"/>
      <c r="D133" s="21" t="s">
        <v>403</v>
      </c>
      <c r="E133" s="21" t="s">
        <v>709</v>
      </c>
      <c r="F133" s="22" t="s">
        <v>30</v>
      </c>
      <c r="G133" s="22">
        <v>160</v>
      </c>
      <c r="H133" s="22" t="s">
        <v>475</v>
      </c>
      <c r="I133" s="22" t="s">
        <v>249</v>
      </c>
      <c r="J133" s="41" t="s">
        <v>644</v>
      </c>
      <c r="K133" s="22" t="s">
        <v>249</v>
      </c>
      <c r="L133" s="24"/>
      <c r="M133" s="22" t="s">
        <v>249</v>
      </c>
      <c r="N133" s="18">
        <v>554</v>
      </c>
      <c r="O133" s="18">
        <v>399</v>
      </c>
    </row>
    <row r="134" spans="1:15" x14ac:dyDescent="0.25">
      <c r="A134" s="18">
        <v>133</v>
      </c>
      <c r="B134" s="40" t="s">
        <v>404</v>
      </c>
      <c r="C134" s="20"/>
      <c r="D134" s="21" t="s">
        <v>405</v>
      </c>
      <c r="E134" s="21" t="s">
        <v>710</v>
      </c>
      <c r="F134" s="22" t="s">
        <v>30</v>
      </c>
      <c r="G134" s="22">
        <v>169</v>
      </c>
      <c r="H134" s="22" t="s">
        <v>475</v>
      </c>
      <c r="I134" s="22" t="s">
        <v>249</v>
      </c>
      <c r="J134" s="41" t="s">
        <v>644</v>
      </c>
      <c r="K134" s="22" t="s">
        <v>249</v>
      </c>
      <c r="L134" s="24"/>
      <c r="M134" s="22" t="s">
        <v>249</v>
      </c>
      <c r="N134" s="18">
        <v>441</v>
      </c>
      <c r="O134" s="18">
        <v>3939</v>
      </c>
    </row>
    <row r="135" spans="1:15" x14ac:dyDescent="0.25">
      <c r="A135" s="18">
        <v>134</v>
      </c>
      <c r="B135" s="40" t="s">
        <v>406</v>
      </c>
      <c r="C135" s="20"/>
      <c r="D135" s="21" t="s">
        <v>408</v>
      </c>
      <c r="E135" s="21" t="s">
        <v>711</v>
      </c>
      <c r="F135" s="22" t="s">
        <v>30</v>
      </c>
      <c r="G135" s="22">
        <v>134</v>
      </c>
      <c r="H135" s="22" t="s">
        <v>475</v>
      </c>
      <c r="I135" s="22" t="s">
        <v>515</v>
      </c>
      <c r="J135" s="22" t="s">
        <v>539</v>
      </c>
      <c r="K135" s="42" t="s">
        <v>516</v>
      </c>
      <c r="L135" s="22" t="s">
        <v>540</v>
      </c>
      <c r="M135" s="22" t="s">
        <v>249</v>
      </c>
      <c r="N135" s="18">
        <v>434</v>
      </c>
      <c r="O135" s="18">
        <v>2906</v>
      </c>
    </row>
    <row r="136" spans="1:15" x14ac:dyDescent="0.25">
      <c r="A136" s="18">
        <v>135</v>
      </c>
      <c r="B136" s="40" t="s">
        <v>409</v>
      </c>
      <c r="C136" s="20"/>
      <c r="D136" s="21" t="s">
        <v>411</v>
      </c>
      <c r="E136" s="21" t="s">
        <v>712</v>
      </c>
      <c r="F136" s="22" t="s">
        <v>17</v>
      </c>
      <c r="G136" s="22">
        <v>188</v>
      </c>
      <c r="H136" s="22" t="s">
        <v>475</v>
      </c>
      <c r="I136" s="22" t="s">
        <v>249</v>
      </c>
      <c r="J136" s="41" t="s">
        <v>644</v>
      </c>
      <c r="K136" s="22" t="s">
        <v>249</v>
      </c>
      <c r="L136" s="22" t="s">
        <v>540</v>
      </c>
      <c r="M136" s="22" t="s">
        <v>601</v>
      </c>
      <c r="N136" s="18">
        <v>565</v>
      </c>
      <c r="O136" s="18">
        <v>2900</v>
      </c>
    </row>
    <row r="137" spans="1:15" x14ac:dyDescent="0.25">
      <c r="A137" s="18">
        <v>136</v>
      </c>
      <c r="B137" s="40" t="s">
        <v>412</v>
      </c>
      <c r="C137" s="20"/>
      <c r="D137" s="21" t="s">
        <v>414</v>
      </c>
      <c r="E137" s="21" t="s">
        <v>713</v>
      </c>
      <c r="F137" s="22" t="s">
        <v>30</v>
      </c>
      <c r="G137" s="22">
        <v>163</v>
      </c>
      <c r="H137" s="22" t="s">
        <v>475</v>
      </c>
      <c r="I137" s="22" t="s">
        <v>249</v>
      </c>
      <c r="J137" s="41" t="s">
        <v>644</v>
      </c>
      <c r="K137" s="22" t="s">
        <v>249</v>
      </c>
      <c r="L137" s="22" t="s">
        <v>540</v>
      </c>
      <c r="M137" s="22" t="s">
        <v>567</v>
      </c>
      <c r="N137" s="18">
        <v>421</v>
      </c>
      <c r="O137" s="18">
        <v>3278</v>
      </c>
    </row>
    <row r="138" spans="1:15" x14ac:dyDescent="0.25">
      <c r="A138" s="18">
        <v>137</v>
      </c>
      <c r="B138" s="40" t="s">
        <v>415</v>
      </c>
      <c r="C138" s="20"/>
      <c r="D138" s="21" t="s">
        <v>416</v>
      </c>
      <c r="E138" s="21" t="s">
        <v>714</v>
      </c>
      <c r="F138" s="22" t="s">
        <v>17</v>
      </c>
      <c r="G138" s="22">
        <v>188</v>
      </c>
      <c r="H138" s="22" t="s">
        <v>510</v>
      </c>
      <c r="I138" s="22" t="s">
        <v>249</v>
      </c>
      <c r="J138" s="41" t="s">
        <v>644</v>
      </c>
      <c r="K138" s="22" t="s">
        <v>249</v>
      </c>
      <c r="L138" s="24"/>
      <c r="M138" s="22" t="s">
        <v>667</v>
      </c>
      <c r="N138" s="18">
        <v>619</v>
      </c>
      <c r="O138" s="18">
        <v>4910</v>
      </c>
    </row>
    <row r="139" spans="1:15" x14ac:dyDescent="0.25">
      <c r="A139" s="18">
        <v>138</v>
      </c>
      <c r="B139" s="40" t="s">
        <v>417</v>
      </c>
      <c r="C139" s="20"/>
      <c r="D139" s="21" t="s">
        <v>418</v>
      </c>
      <c r="E139" s="21" t="s">
        <v>715</v>
      </c>
      <c r="F139" s="22" t="s">
        <v>30</v>
      </c>
      <c r="G139" s="22">
        <v>171</v>
      </c>
      <c r="H139" s="22" t="s">
        <v>510</v>
      </c>
      <c r="I139" s="22" t="s">
        <v>249</v>
      </c>
      <c r="J139" s="41" t="s">
        <v>644</v>
      </c>
      <c r="K139" s="22" t="s">
        <v>249</v>
      </c>
      <c r="L139" s="24"/>
      <c r="M139" s="22" t="s">
        <v>690</v>
      </c>
      <c r="N139" s="18">
        <v>457</v>
      </c>
      <c r="O139" s="18">
        <v>101</v>
      </c>
    </row>
    <row r="140" spans="1:15" x14ac:dyDescent="0.25">
      <c r="A140" s="18">
        <v>139</v>
      </c>
      <c r="B140" s="40" t="s">
        <v>419</v>
      </c>
      <c r="C140" s="20"/>
      <c r="D140" s="21" t="s">
        <v>420</v>
      </c>
      <c r="E140" s="21" t="s">
        <v>716</v>
      </c>
      <c r="F140" s="22" t="s">
        <v>30</v>
      </c>
      <c r="G140" s="22">
        <v>156</v>
      </c>
      <c r="H140" s="22" t="s">
        <v>510</v>
      </c>
      <c r="I140" s="22" t="s">
        <v>249</v>
      </c>
      <c r="J140" s="41" t="s">
        <v>644</v>
      </c>
      <c r="K140" s="22" t="s">
        <v>249</v>
      </c>
      <c r="L140" s="24"/>
      <c r="M140" s="22" t="s">
        <v>577</v>
      </c>
      <c r="N140" s="18">
        <v>1864</v>
      </c>
      <c r="O140" s="18">
        <v>14072</v>
      </c>
    </row>
    <row r="141" spans="1:15" x14ac:dyDescent="0.25">
      <c r="A141" s="18">
        <v>140</v>
      </c>
      <c r="B141" s="40" t="s">
        <v>421</v>
      </c>
      <c r="C141" s="20"/>
      <c r="D141" s="21" t="s">
        <v>423</v>
      </c>
      <c r="E141" s="21" t="s">
        <v>717</v>
      </c>
      <c r="F141" s="22" t="s">
        <v>30</v>
      </c>
      <c r="G141" s="22">
        <v>141</v>
      </c>
      <c r="H141" s="22" t="s">
        <v>475</v>
      </c>
      <c r="I141" s="22" t="s">
        <v>249</v>
      </c>
      <c r="J141" s="41" t="s">
        <v>644</v>
      </c>
      <c r="K141" s="22" t="s">
        <v>249</v>
      </c>
      <c r="L141" s="22" t="s">
        <v>540</v>
      </c>
      <c r="M141" s="22" t="s">
        <v>545</v>
      </c>
      <c r="N141" s="18">
        <v>351</v>
      </c>
      <c r="O141" s="18">
        <v>5414</v>
      </c>
    </row>
    <row r="142" spans="1:15" x14ac:dyDescent="0.25">
      <c r="A142" s="18">
        <v>141</v>
      </c>
      <c r="B142" s="40" t="s">
        <v>424</v>
      </c>
      <c r="C142" s="20"/>
      <c r="D142" s="21" t="s">
        <v>426</v>
      </c>
      <c r="E142" s="21" t="s">
        <v>718</v>
      </c>
      <c r="F142" s="22" t="s">
        <v>17</v>
      </c>
      <c r="G142" s="22">
        <v>185</v>
      </c>
      <c r="H142" s="22" t="s">
        <v>475</v>
      </c>
      <c r="I142" s="22" t="s">
        <v>249</v>
      </c>
      <c r="J142" s="41" t="s">
        <v>644</v>
      </c>
      <c r="K142" s="22" t="s">
        <v>249</v>
      </c>
      <c r="L142" s="22" t="s">
        <v>540</v>
      </c>
      <c r="M142" s="22" t="s">
        <v>553</v>
      </c>
      <c r="N142" s="18">
        <v>432</v>
      </c>
      <c r="O142" s="18">
        <v>321</v>
      </c>
    </row>
    <row r="143" spans="1:15" x14ac:dyDescent="0.25">
      <c r="A143" s="18">
        <v>142</v>
      </c>
      <c r="B143" s="40" t="s">
        <v>427</v>
      </c>
      <c r="C143" s="20"/>
      <c r="D143" s="21" t="s">
        <v>428</v>
      </c>
      <c r="E143" s="21" t="s">
        <v>719</v>
      </c>
      <c r="F143" s="22" t="s">
        <v>30</v>
      </c>
      <c r="G143" s="22">
        <v>152</v>
      </c>
      <c r="H143" s="22" t="s">
        <v>509</v>
      </c>
      <c r="I143" s="22" t="s">
        <v>249</v>
      </c>
      <c r="J143" s="41" t="s">
        <v>644</v>
      </c>
      <c r="K143" s="22" t="s">
        <v>249</v>
      </c>
      <c r="L143" s="24"/>
      <c r="M143" s="22" t="s">
        <v>541</v>
      </c>
      <c r="N143" s="18">
        <v>407</v>
      </c>
      <c r="O143" s="18">
        <v>291</v>
      </c>
    </row>
    <row r="144" spans="1:15" x14ac:dyDescent="0.25">
      <c r="A144" s="18">
        <v>143</v>
      </c>
      <c r="B144" s="40" t="s">
        <v>429</v>
      </c>
      <c r="C144" s="20"/>
      <c r="D144" s="21" t="s">
        <v>431</v>
      </c>
      <c r="E144" s="21" t="s">
        <v>720</v>
      </c>
      <c r="F144" s="22" t="s">
        <v>17</v>
      </c>
      <c r="G144" s="22">
        <v>167</v>
      </c>
      <c r="H144" s="22" t="s">
        <v>475</v>
      </c>
      <c r="I144" s="22" t="s">
        <v>249</v>
      </c>
      <c r="J144" s="41" t="s">
        <v>644</v>
      </c>
      <c r="K144" s="22" t="s">
        <v>249</v>
      </c>
      <c r="L144" s="22" t="s">
        <v>540</v>
      </c>
      <c r="M144" s="22" t="s">
        <v>249</v>
      </c>
      <c r="N144" s="18">
        <v>320</v>
      </c>
      <c r="O144" s="18">
        <v>2543</v>
      </c>
    </row>
    <row r="145" spans="1:15" x14ac:dyDescent="0.25">
      <c r="A145" s="27">
        <v>144</v>
      </c>
      <c r="B145" s="43" t="s">
        <v>432</v>
      </c>
      <c r="C145" s="29"/>
      <c r="D145" s="44" t="s">
        <v>433</v>
      </c>
      <c r="E145" s="44" t="s">
        <v>721</v>
      </c>
      <c r="F145" s="31" t="s">
        <v>17</v>
      </c>
      <c r="G145" s="31">
        <v>170</v>
      </c>
      <c r="H145" s="31" t="s">
        <v>475</v>
      </c>
      <c r="I145" s="31" t="s">
        <v>249</v>
      </c>
      <c r="J145" s="31" t="s">
        <v>659</v>
      </c>
      <c r="K145" s="45" t="s">
        <v>249</v>
      </c>
      <c r="L145" s="46"/>
      <c r="M145" s="31" t="s">
        <v>249</v>
      </c>
      <c r="N145" s="33">
        <v>336</v>
      </c>
      <c r="O145" s="33">
        <v>1003</v>
      </c>
    </row>
    <row r="146" spans="1:15" x14ac:dyDescent="0.25">
      <c r="A146" s="47">
        <v>145</v>
      </c>
      <c r="B146" s="48" t="s">
        <v>434</v>
      </c>
      <c r="C146" s="49"/>
      <c r="D146" s="37" t="s">
        <v>435</v>
      </c>
      <c r="E146" s="50" t="s">
        <v>722</v>
      </c>
      <c r="F146" s="37" t="s">
        <v>30</v>
      </c>
      <c r="G146" s="38">
        <v>160</v>
      </c>
      <c r="H146" s="38" t="s">
        <v>475</v>
      </c>
      <c r="I146" s="38" t="s">
        <v>249</v>
      </c>
      <c r="J146" s="51" t="s">
        <v>644</v>
      </c>
      <c r="K146" s="38" t="s">
        <v>249</v>
      </c>
      <c r="L146" s="52"/>
      <c r="M146" s="53" t="s">
        <v>249</v>
      </c>
      <c r="N146" s="54" t="s">
        <v>297</v>
      </c>
      <c r="O146" s="54" t="s">
        <v>297</v>
      </c>
    </row>
    <row r="147" spans="1:15" x14ac:dyDescent="0.25">
      <c r="A147" s="27">
        <v>146</v>
      </c>
      <c r="B147" s="55" t="s">
        <v>436</v>
      </c>
      <c r="C147" s="29"/>
      <c r="D147" s="56" t="s">
        <v>437</v>
      </c>
      <c r="E147" s="57" t="s">
        <v>723</v>
      </c>
      <c r="F147" s="21" t="s">
        <v>17</v>
      </c>
      <c r="G147" s="18">
        <v>172</v>
      </c>
      <c r="H147" s="22" t="s">
        <v>510</v>
      </c>
      <c r="I147" s="22" t="s">
        <v>249</v>
      </c>
      <c r="J147" s="58" t="s">
        <v>644</v>
      </c>
      <c r="K147" s="22" t="s">
        <v>249</v>
      </c>
      <c r="L147" s="59"/>
      <c r="M147" s="60" t="s">
        <v>249</v>
      </c>
      <c r="N147" s="61" t="s">
        <v>297</v>
      </c>
      <c r="O147" s="61" t="s">
        <v>297</v>
      </c>
    </row>
    <row r="148" spans="1:15" x14ac:dyDescent="0.25">
      <c r="A148" s="18">
        <v>147</v>
      </c>
      <c r="B148" s="62" t="s">
        <v>438</v>
      </c>
      <c r="C148" s="20"/>
      <c r="D148" s="30" t="s">
        <v>439</v>
      </c>
      <c r="E148" s="63" t="s">
        <v>724</v>
      </c>
      <c r="F148" s="21" t="s">
        <v>17</v>
      </c>
      <c r="G148" s="18">
        <v>186</v>
      </c>
      <c r="H148" s="22" t="s">
        <v>510</v>
      </c>
      <c r="I148" s="22" t="s">
        <v>249</v>
      </c>
      <c r="J148" s="58" t="s">
        <v>644</v>
      </c>
      <c r="K148" s="22" t="s">
        <v>249</v>
      </c>
      <c r="L148" s="59"/>
      <c r="M148" s="42" t="s">
        <v>249</v>
      </c>
      <c r="N148" s="61" t="s">
        <v>297</v>
      </c>
      <c r="O148" s="61" t="s">
        <v>297</v>
      </c>
    </row>
    <row r="149" spans="1:15" x14ac:dyDescent="0.25">
      <c r="A149" s="39">
        <v>148</v>
      </c>
      <c r="B149" s="64" t="s">
        <v>440</v>
      </c>
      <c r="C149" s="65"/>
      <c r="D149" s="21" t="s">
        <v>441</v>
      </c>
      <c r="E149" s="66" t="s">
        <v>725</v>
      </c>
      <c r="F149" s="67" t="s">
        <v>17</v>
      </c>
      <c r="G149" s="22">
        <v>188</v>
      </c>
      <c r="H149" s="22" t="s">
        <v>510</v>
      </c>
      <c r="I149" s="22" t="s">
        <v>249</v>
      </c>
      <c r="J149" s="58" t="s">
        <v>644</v>
      </c>
      <c r="K149" s="22" t="s">
        <v>249</v>
      </c>
      <c r="L149" s="59"/>
      <c r="M149" s="42" t="s">
        <v>249</v>
      </c>
      <c r="N149" s="61" t="s">
        <v>297</v>
      </c>
      <c r="O149" s="61" t="s">
        <v>297</v>
      </c>
    </row>
    <row r="150" spans="1:15" x14ac:dyDescent="0.25">
      <c r="A150" s="68">
        <v>149</v>
      </c>
      <c r="B150" s="69" t="s">
        <v>442</v>
      </c>
      <c r="C150" s="65"/>
      <c r="D150" s="44" t="s">
        <v>443</v>
      </c>
      <c r="E150" s="70" t="s">
        <v>726</v>
      </c>
      <c r="F150" s="71" t="s">
        <v>17</v>
      </c>
      <c r="G150" s="22">
        <v>189</v>
      </c>
      <c r="H150" s="22" t="s">
        <v>510</v>
      </c>
      <c r="I150" s="22" t="s">
        <v>249</v>
      </c>
      <c r="J150" s="54" t="s">
        <v>644</v>
      </c>
      <c r="K150" s="22" t="s">
        <v>249</v>
      </c>
      <c r="L150" s="59"/>
      <c r="M150" s="42" t="s">
        <v>249</v>
      </c>
      <c r="N150" s="61" t="s">
        <v>297</v>
      </c>
      <c r="O150" s="61" t="s">
        <v>297</v>
      </c>
    </row>
    <row r="151" spans="1:15" x14ac:dyDescent="0.25">
      <c r="A151" s="27">
        <v>150</v>
      </c>
      <c r="B151" s="72" t="s">
        <v>444</v>
      </c>
      <c r="C151" s="20"/>
      <c r="D151" s="56" t="s">
        <v>445</v>
      </c>
      <c r="E151" s="57" t="s">
        <v>727</v>
      </c>
      <c r="F151" s="73" t="s">
        <v>17</v>
      </c>
      <c r="G151" s="41">
        <v>230</v>
      </c>
      <c r="H151" s="41" t="s">
        <v>475</v>
      </c>
      <c r="I151" s="41" t="s">
        <v>249</v>
      </c>
      <c r="J151" s="61" t="s">
        <v>644</v>
      </c>
      <c r="K151" s="41" t="s">
        <v>249</v>
      </c>
      <c r="L151" s="74"/>
      <c r="M151" s="60" t="s">
        <v>249</v>
      </c>
      <c r="N151" s="75" t="s">
        <v>297</v>
      </c>
      <c r="O151" s="75" t="s">
        <v>297</v>
      </c>
    </row>
    <row r="152" spans="1:15" x14ac:dyDescent="0.25">
      <c r="A152" s="34">
        <v>151</v>
      </c>
      <c r="B152" s="76" t="s">
        <v>446</v>
      </c>
      <c r="C152" s="65"/>
      <c r="D152" s="37" t="s">
        <v>447</v>
      </c>
      <c r="E152" s="50" t="s">
        <v>728</v>
      </c>
      <c r="F152" s="77" t="s">
        <v>17</v>
      </c>
      <c r="G152" s="34">
        <v>166</v>
      </c>
      <c r="H152" s="34">
        <v>17</v>
      </c>
      <c r="I152" s="78">
        <v>45417</v>
      </c>
      <c r="J152" s="34" t="s">
        <v>729</v>
      </c>
      <c r="K152" s="34" t="s">
        <v>517</v>
      </c>
      <c r="L152" s="79"/>
      <c r="M152" s="53" t="s">
        <v>249</v>
      </c>
      <c r="N152" s="54" t="s">
        <v>297</v>
      </c>
      <c r="O152" s="54" t="s">
        <v>297</v>
      </c>
    </row>
    <row r="153" spans="1:15" x14ac:dyDescent="0.25">
      <c r="A153" s="18">
        <v>152</v>
      </c>
      <c r="B153" s="80" t="s">
        <v>448</v>
      </c>
      <c r="C153" s="20"/>
      <c r="D153" s="21" t="s">
        <v>449</v>
      </c>
      <c r="E153" s="66" t="s">
        <v>730</v>
      </c>
      <c r="F153" s="22" t="s">
        <v>30</v>
      </c>
      <c r="G153" s="22">
        <v>174</v>
      </c>
      <c r="H153" s="22">
        <v>26</v>
      </c>
      <c r="I153" s="58">
        <v>45480</v>
      </c>
      <c r="J153" s="22" t="s">
        <v>729</v>
      </c>
      <c r="K153" s="61" t="s">
        <v>518</v>
      </c>
      <c r="L153" s="24"/>
      <c r="M153" s="42" t="s">
        <v>249</v>
      </c>
      <c r="N153" s="61" t="s">
        <v>297</v>
      </c>
      <c r="O153" s="61" t="s">
        <v>297</v>
      </c>
    </row>
    <row r="154" spans="1:15" x14ac:dyDescent="0.25">
      <c r="A154" s="18">
        <v>153</v>
      </c>
      <c r="B154" s="80" t="s">
        <v>450</v>
      </c>
      <c r="C154" s="20"/>
      <c r="D154" s="21" t="s">
        <v>451</v>
      </c>
      <c r="E154" s="21" t="s">
        <v>731</v>
      </c>
      <c r="F154" s="22" t="s">
        <v>17</v>
      </c>
      <c r="G154" s="22">
        <v>171</v>
      </c>
      <c r="H154" s="22">
        <v>32</v>
      </c>
      <c r="I154" s="58">
        <v>45233</v>
      </c>
      <c r="J154" s="22" t="s">
        <v>729</v>
      </c>
      <c r="K154" s="42" t="s">
        <v>519</v>
      </c>
      <c r="L154" s="24"/>
      <c r="M154" s="22" t="s">
        <v>249</v>
      </c>
      <c r="N154" s="18" t="s">
        <v>297</v>
      </c>
      <c r="O154" s="18" t="s">
        <v>297</v>
      </c>
    </row>
    <row r="155" spans="1:15" x14ac:dyDescent="0.25">
      <c r="A155" s="18">
        <v>154</v>
      </c>
      <c r="B155" s="80" t="s">
        <v>452</v>
      </c>
      <c r="C155" s="20"/>
      <c r="D155" s="21" t="s">
        <v>453</v>
      </c>
      <c r="E155" s="66" t="s">
        <v>732</v>
      </c>
      <c r="F155" s="22" t="s">
        <v>17</v>
      </c>
      <c r="G155" s="22">
        <v>195</v>
      </c>
      <c r="H155" s="22">
        <v>41</v>
      </c>
      <c r="I155" s="58">
        <v>45103</v>
      </c>
      <c r="J155" s="22" t="s">
        <v>729</v>
      </c>
      <c r="K155" s="61" t="s">
        <v>520</v>
      </c>
      <c r="L155" s="24"/>
      <c r="M155" s="42" t="s">
        <v>249</v>
      </c>
      <c r="N155" s="61" t="s">
        <v>297</v>
      </c>
      <c r="O155" s="61" t="s">
        <v>297</v>
      </c>
    </row>
    <row r="156" spans="1:15" x14ac:dyDescent="0.25">
      <c r="A156" s="18">
        <v>155</v>
      </c>
      <c r="B156" s="80" t="s">
        <v>454</v>
      </c>
      <c r="C156" s="20"/>
      <c r="D156" s="21" t="s">
        <v>455</v>
      </c>
      <c r="E156" s="66" t="s">
        <v>733</v>
      </c>
      <c r="F156" s="22" t="s">
        <v>30</v>
      </c>
      <c r="G156" s="22">
        <v>154</v>
      </c>
      <c r="H156" s="22">
        <v>19</v>
      </c>
      <c r="I156" s="58">
        <v>45283</v>
      </c>
      <c r="J156" s="22" t="s">
        <v>729</v>
      </c>
      <c r="K156" s="61" t="s">
        <v>521</v>
      </c>
      <c r="L156" s="24"/>
      <c r="M156" s="42" t="s">
        <v>249</v>
      </c>
      <c r="N156" s="61" t="s">
        <v>297</v>
      </c>
      <c r="O156" s="61" t="s">
        <v>297</v>
      </c>
    </row>
    <row r="157" spans="1:15" x14ac:dyDescent="0.25">
      <c r="A157" s="18">
        <v>156</v>
      </c>
      <c r="B157" s="80" t="s">
        <v>456</v>
      </c>
      <c r="C157" s="20"/>
      <c r="D157" s="21" t="s">
        <v>457</v>
      </c>
      <c r="E157" s="66" t="s">
        <v>734</v>
      </c>
      <c r="F157" s="22" t="s">
        <v>30</v>
      </c>
      <c r="G157" s="22">
        <v>160</v>
      </c>
      <c r="H157" s="22">
        <v>14</v>
      </c>
      <c r="I157" s="23">
        <v>44971</v>
      </c>
      <c r="J157" s="22" t="s">
        <v>729</v>
      </c>
      <c r="K157" s="42" t="s">
        <v>522</v>
      </c>
      <c r="L157" s="24"/>
      <c r="M157" s="42" t="s">
        <v>249</v>
      </c>
      <c r="N157" s="61" t="s">
        <v>297</v>
      </c>
      <c r="O157" s="61" t="s">
        <v>297</v>
      </c>
    </row>
    <row r="158" spans="1:15" x14ac:dyDescent="0.25">
      <c r="A158" s="18">
        <v>157</v>
      </c>
      <c r="B158" s="80" t="s">
        <v>458</v>
      </c>
      <c r="C158" s="20"/>
      <c r="D158" s="21" t="s">
        <v>459</v>
      </c>
      <c r="E158" s="21" t="s">
        <v>735</v>
      </c>
      <c r="F158" s="22" t="s">
        <v>17</v>
      </c>
      <c r="G158" s="22">
        <v>165</v>
      </c>
      <c r="H158" s="22">
        <v>20</v>
      </c>
      <c r="I158" s="58">
        <v>44992</v>
      </c>
      <c r="J158" s="22" t="s">
        <v>729</v>
      </c>
      <c r="K158" s="42" t="s">
        <v>523</v>
      </c>
      <c r="L158" s="24"/>
      <c r="M158" s="22" t="s">
        <v>249</v>
      </c>
      <c r="N158" s="18" t="s">
        <v>297</v>
      </c>
      <c r="O158" s="18" t="s">
        <v>297</v>
      </c>
    </row>
    <row r="159" spans="1:15" x14ac:dyDescent="0.25">
      <c r="A159" s="18">
        <v>158</v>
      </c>
      <c r="B159" s="80" t="s">
        <v>460</v>
      </c>
      <c r="C159" s="20"/>
      <c r="D159" s="21" t="s">
        <v>461</v>
      </c>
      <c r="E159" s="21" t="s">
        <v>736</v>
      </c>
      <c r="F159" s="22" t="s">
        <v>17</v>
      </c>
      <c r="G159" s="22">
        <v>186</v>
      </c>
      <c r="H159" s="22">
        <v>22</v>
      </c>
      <c r="I159" s="58">
        <v>45173</v>
      </c>
      <c r="J159" s="22" t="s">
        <v>729</v>
      </c>
      <c r="K159" s="42" t="s">
        <v>524</v>
      </c>
      <c r="L159" s="24"/>
      <c r="M159" s="22" t="s">
        <v>249</v>
      </c>
      <c r="N159" s="18" t="s">
        <v>297</v>
      </c>
      <c r="O159" s="18" t="s">
        <v>297</v>
      </c>
    </row>
    <row r="160" spans="1:15" x14ac:dyDescent="0.25">
      <c r="A160" s="18">
        <v>159</v>
      </c>
      <c r="B160" s="80" t="s">
        <v>462</v>
      </c>
      <c r="C160" s="20"/>
      <c r="D160" s="21" t="s">
        <v>463</v>
      </c>
      <c r="E160" s="21" t="s">
        <v>737</v>
      </c>
      <c r="F160" s="22" t="s">
        <v>30</v>
      </c>
      <c r="G160" s="22">
        <v>170</v>
      </c>
      <c r="H160" s="22" t="s">
        <v>525</v>
      </c>
      <c r="I160" s="58">
        <v>44927</v>
      </c>
      <c r="J160" s="22" t="s">
        <v>729</v>
      </c>
      <c r="K160" s="42" t="s">
        <v>526</v>
      </c>
      <c r="L160" s="24"/>
      <c r="M160" s="22" t="s">
        <v>249</v>
      </c>
      <c r="N160" s="18" t="s">
        <v>297</v>
      </c>
      <c r="O160" s="18" t="s">
        <v>297</v>
      </c>
    </row>
    <row r="161" spans="1:15" x14ac:dyDescent="0.25">
      <c r="A161" s="18">
        <v>159</v>
      </c>
      <c r="B161" s="80" t="s">
        <v>738</v>
      </c>
      <c r="C161" s="20"/>
      <c r="D161" s="21" t="s">
        <v>465</v>
      </c>
      <c r="E161" s="21" t="s">
        <v>739</v>
      </c>
      <c r="F161" s="22" t="s">
        <v>17</v>
      </c>
      <c r="G161" s="22">
        <v>175</v>
      </c>
      <c r="H161" s="22">
        <v>36</v>
      </c>
      <c r="I161" s="58">
        <v>46140</v>
      </c>
      <c r="J161" s="22" t="s">
        <v>729</v>
      </c>
      <c r="K161" s="42" t="s">
        <v>527</v>
      </c>
      <c r="L161" s="24"/>
      <c r="M161" s="22" t="s">
        <v>249</v>
      </c>
      <c r="N161" s="18" t="s">
        <v>297</v>
      </c>
      <c r="O161" s="18" t="s">
        <v>297</v>
      </c>
    </row>
    <row r="162" spans="1:15" x14ac:dyDescent="0.25">
      <c r="A162" s="19"/>
      <c r="B162" s="20"/>
      <c r="C162" s="30"/>
      <c r="D162" s="30"/>
      <c r="E162" s="18"/>
      <c r="F162" s="18"/>
      <c r="G162" s="18"/>
      <c r="H162" s="81"/>
      <c r="I162" s="18"/>
      <c r="J162" s="18"/>
      <c r="K162" s="18"/>
      <c r="L162" s="82"/>
      <c r="M162" s="82"/>
      <c r="N162" s="18"/>
    </row>
    <row r="163" spans="1:15" x14ac:dyDescent="0.25">
      <c r="A163" s="8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83"/>
      <c r="M163" s="83"/>
      <c r="N163" s="20"/>
    </row>
    <row r="164" spans="1:15" x14ac:dyDescent="0.25">
      <c r="A164" s="8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83"/>
      <c r="M164" s="83"/>
      <c r="N164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73"/>
  <sheetViews>
    <sheetView workbookViewId="0"/>
  </sheetViews>
  <sheetFormatPr defaultColWidth="14.42578125" defaultRowHeight="15" customHeight="1" x14ac:dyDescent="0.25"/>
  <sheetData>
    <row r="1" spans="1:5" x14ac:dyDescent="0.25">
      <c r="A1" s="21" t="s">
        <v>13</v>
      </c>
      <c r="B1" s="84" t="s">
        <v>15</v>
      </c>
      <c r="C1" s="85" t="s">
        <v>16</v>
      </c>
      <c r="D1" s="40" t="s">
        <v>740</v>
      </c>
      <c r="E1" s="86" t="s">
        <v>18</v>
      </c>
    </row>
    <row r="2" spans="1:5" x14ac:dyDescent="0.25">
      <c r="A2" s="21" t="s">
        <v>19</v>
      </c>
      <c r="B2" s="87" t="s">
        <v>21</v>
      </c>
      <c r="C2" s="85" t="s">
        <v>16</v>
      </c>
      <c r="D2" s="42" t="s">
        <v>20</v>
      </c>
      <c r="E2" s="86" t="s">
        <v>18</v>
      </c>
    </row>
    <row r="3" spans="1:5" x14ac:dyDescent="0.25">
      <c r="A3" s="21" t="s">
        <v>26</v>
      </c>
      <c r="B3" s="84" t="s">
        <v>15</v>
      </c>
      <c r="C3" s="85" t="s">
        <v>16</v>
      </c>
      <c r="D3" s="42" t="s">
        <v>741</v>
      </c>
      <c r="E3" s="88" t="s">
        <v>25</v>
      </c>
    </row>
    <row r="4" spans="1:5" x14ac:dyDescent="0.25">
      <c r="A4" s="21" t="s">
        <v>23</v>
      </c>
      <c r="B4" s="87" t="s">
        <v>21</v>
      </c>
      <c r="C4" s="85" t="s">
        <v>16</v>
      </c>
      <c r="D4" s="89" t="s">
        <v>742</v>
      </c>
      <c r="E4" s="88" t="s">
        <v>25</v>
      </c>
    </row>
    <row r="5" spans="1:5" x14ac:dyDescent="0.25">
      <c r="A5" s="21" t="s">
        <v>31</v>
      </c>
      <c r="B5" s="90" t="s">
        <v>32</v>
      </c>
      <c r="C5" s="91" t="s">
        <v>29</v>
      </c>
      <c r="D5" s="42" t="s">
        <v>741</v>
      </c>
      <c r="E5" s="88" t="s">
        <v>25</v>
      </c>
    </row>
    <row r="6" spans="1:5" x14ac:dyDescent="0.25">
      <c r="A6" s="21" t="s">
        <v>28</v>
      </c>
      <c r="B6" s="84" t="s">
        <v>15</v>
      </c>
      <c r="C6" s="91" t="s">
        <v>29</v>
      </c>
      <c r="D6" s="42" t="s">
        <v>20</v>
      </c>
      <c r="E6" s="88" t="s">
        <v>25</v>
      </c>
    </row>
    <row r="7" spans="1:5" x14ac:dyDescent="0.25">
      <c r="A7" s="21" t="s">
        <v>35</v>
      </c>
      <c r="B7" s="87" t="s">
        <v>21</v>
      </c>
      <c r="C7" s="91" t="s">
        <v>29</v>
      </c>
      <c r="D7" s="42" t="s">
        <v>741</v>
      </c>
      <c r="E7" s="88" t="s">
        <v>25</v>
      </c>
    </row>
    <row r="8" spans="1:5" x14ac:dyDescent="0.25">
      <c r="A8" s="21" t="s">
        <v>34</v>
      </c>
      <c r="B8" s="84" t="s">
        <v>15</v>
      </c>
      <c r="C8" s="91" t="s">
        <v>29</v>
      </c>
      <c r="D8" s="92" t="s">
        <v>24</v>
      </c>
      <c r="E8" s="88" t="s">
        <v>25</v>
      </c>
    </row>
    <row r="9" spans="1:5" x14ac:dyDescent="0.25">
      <c r="A9" s="21" t="s">
        <v>38</v>
      </c>
      <c r="B9" s="87" t="s">
        <v>21</v>
      </c>
      <c r="C9" s="85" t="s">
        <v>16</v>
      </c>
      <c r="D9" s="42" t="s">
        <v>741</v>
      </c>
      <c r="E9" s="88" t="s">
        <v>25</v>
      </c>
    </row>
    <row r="10" spans="1:5" x14ac:dyDescent="0.25">
      <c r="A10" s="21" t="s">
        <v>37</v>
      </c>
      <c r="B10" s="90" t="s">
        <v>32</v>
      </c>
      <c r="C10" s="85" t="s">
        <v>16</v>
      </c>
      <c r="D10" s="89" t="s">
        <v>742</v>
      </c>
      <c r="E10" s="88" t="s">
        <v>25</v>
      </c>
    </row>
    <row r="11" spans="1:5" x14ac:dyDescent="0.25">
      <c r="A11" s="21" t="s">
        <v>41</v>
      </c>
      <c r="B11" s="90" t="s">
        <v>32</v>
      </c>
      <c r="C11" s="91" t="s">
        <v>29</v>
      </c>
      <c r="D11" s="42" t="s">
        <v>741</v>
      </c>
      <c r="E11" s="88" t="s">
        <v>25</v>
      </c>
    </row>
    <row r="12" spans="1:5" x14ac:dyDescent="0.25">
      <c r="A12" s="21" t="s">
        <v>40</v>
      </c>
      <c r="B12" s="87" t="s">
        <v>21</v>
      </c>
      <c r="C12" s="91" t="s">
        <v>29</v>
      </c>
      <c r="D12" s="42" t="s">
        <v>20</v>
      </c>
      <c r="E12" s="86" t="s">
        <v>18</v>
      </c>
    </row>
    <row r="13" spans="1:5" x14ac:dyDescent="0.25">
      <c r="A13" s="21" t="s">
        <v>45</v>
      </c>
      <c r="B13" s="84" t="s">
        <v>15</v>
      </c>
      <c r="C13" s="91" t="s">
        <v>29</v>
      </c>
      <c r="D13" s="42" t="s">
        <v>741</v>
      </c>
      <c r="E13" s="93" t="s">
        <v>44</v>
      </c>
    </row>
    <row r="14" spans="1:5" x14ac:dyDescent="0.25">
      <c r="A14" s="21" t="s">
        <v>43</v>
      </c>
      <c r="B14" s="90" t="s">
        <v>32</v>
      </c>
      <c r="C14" s="91" t="s">
        <v>29</v>
      </c>
      <c r="D14" s="42" t="s">
        <v>20</v>
      </c>
      <c r="E14" s="93" t="s">
        <v>44</v>
      </c>
    </row>
    <row r="15" spans="1:5" x14ac:dyDescent="0.25">
      <c r="A15" s="21" t="s">
        <v>49</v>
      </c>
      <c r="B15" s="87" t="s">
        <v>21</v>
      </c>
      <c r="C15" s="85" t="s">
        <v>16</v>
      </c>
      <c r="D15" s="40" t="s">
        <v>743</v>
      </c>
      <c r="E15" s="94" t="s">
        <v>48</v>
      </c>
    </row>
    <row r="16" spans="1:5" x14ac:dyDescent="0.25">
      <c r="A16" s="21" t="s">
        <v>47</v>
      </c>
      <c r="B16" s="90" t="s">
        <v>32</v>
      </c>
      <c r="C16" s="85" t="s">
        <v>16</v>
      </c>
      <c r="D16" s="42" t="s">
        <v>20</v>
      </c>
      <c r="E16" s="94" t="s">
        <v>48</v>
      </c>
    </row>
    <row r="17" spans="1:5" x14ac:dyDescent="0.25">
      <c r="A17" s="21" t="s">
        <v>53</v>
      </c>
      <c r="B17" s="90" t="s">
        <v>32</v>
      </c>
      <c r="C17" s="91" t="s">
        <v>29</v>
      </c>
      <c r="D17" s="40" t="s">
        <v>740</v>
      </c>
      <c r="E17" s="95" t="s">
        <v>52</v>
      </c>
    </row>
    <row r="18" spans="1:5" x14ac:dyDescent="0.25">
      <c r="A18" s="21" t="s">
        <v>51</v>
      </c>
      <c r="B18" s="84" t="s">
        <v>15</v>
      </c>
      <c r="C18" s="91" t="s">
        <v>29</v>
      </c>
      <c r="D18" s="42" t="s">
        <v>744</v>
      </c>
      <c r="E18" s="95" t="s">
        <v>52</v>
      </c>
    </row>
    <row r="19" spans="1:5" x14ac:dyDescent="0.25">
      <c r="A19" s="21" t="s">
        <v>56</v>
      </c>
      <c r="B19" s="84" t="s">
        <v>15</v>
      </c>
      <c r="C19" s="85" t="s">
        <v>16</v>
      </c>
      <c r="D19" s="42" t="s">
        <v>741</v>
      </c>
      <c r="E19" s="95" t="s">
        <v>52</v>
      </c>
    </row>
    <row r="20" spans="1:5" x14ac:dyDescent="0.25">
      <c r="A20" s="21" t="s">
        <v>55</v>
      </c>
      <c r="B20" s="90" t="s">
        <v>32</v>
      </c>
      <c r="C20" s="85" t="s">
        <v>16</v>
      </c>
      <c r="D20" s="42" t="s">
        <v>744</v>
      </c>
      <c r="E20" s="95" t="s">
        <v>52</v>
      </c>
    </row>
    <row r="21" spans="1:5" x14ac:dyDescent="0.25">
      <c r="A21" s="21" t="s">
        <v>59</v>
      </c>
      <c r="B21" s="87" t="s">
        <v>21</v>
      </c>
      <c r="C21" s="85" t="s">
        <v>16</v>
      </c>
      <c r="D21" s="42" t="s">
        <v>741</v>
      </c>
      <c r="E21" s="86" t="s">
        <v>18</v>
      </c>
    </row>
    <row r="22" spans="1:5" x14ac:dyDescent="0.25">
      <c r="A22" s="21" t="s">
        <v>58</v>
      </c>
      <c r="B22" s="84" t="s">
        <v>15</v>
      </c>
      <c r="C22" s="85" t="s">
        <v>16</v>
      </c>
      <c r="D22" s="89" t="s">
        <v>742</v>
      </c>
      <c r="E22" s="86" t="s">
        <v>18</v>
      </c>
    </row>
    <row r="23" spans="1:5" x14ac:dyDescent="0.25">
      <c r="A23" s="21" t="s">
        <v>63</v>
      </c>
      <c r="B23" s="87" t="s">
        <v>21</v>
      </c>
      <c r="C23" s="62" t="s">
        <v>62</v>
      </c>
      <c r="D23" s="42" t="s">
        <v>741</v>
      </c>
      <c r="E23" s="86" t="s">
        <v>18</v>
      </c>
    </row>
    <row r="24" spans="1:5" x14ac:dyDescent="0.25">
      <c r="A24" s="21" t="s">
        <v>61</v>
      </c>
      <c r="B24" s="90" t="s">
        <v>32</v>
      </c>
      <c r="C24" s="62" t="s">
        <v>62</v>
      </c>
      <c r="D24" s="89" t="s">
        <v>742</v>
      </c>
      <c r="E24" s="95" t="s">
        <v>52</v>
      </c>
    </row>
    <row r="25" spans="1:5" x14ac:dyDescent="0.25">
      <c r="A25" s="21" t="s">
        <v>67</v>
      </c>
      <c r="B25" s="87" t="s">
        <v>21</v>
      </c>
      <c r="C25" s="62" t="s">
        <v>62</v>
      </c>
      <c r="D25" s="40" t="s">
        <v>740</v>
      </c>
      <c r="E25" s="96" t="s">
        <v>66</v>
      </c>
    </row>
    <row r="26" spans="1:5" x14ac:dyDescent="0.25">
      <c r="A26" s="21" t="s">
        <v>65</v>
      </c>
      <c r="B26" s="84" t="s">
        <v>15</v>
      </c>
      <c r="C26" s="62" t="s">
        <v>62</v>
      </c>
      <c r="D26" s="42" t="s">
        <v>744</v>
      </c>
      <c r="E26" s="96" t="s">
        <v>66</v>
      </c>
    </row>
    <row r="27" spans="1:5" x14ac:dyDescent="0.25">
      <c r="A27" s="21" t="s">
        <v>70</v>
      </c>
      <c r="B27" s="87" t="s">
        <v>21</v>
      </c>
      <c r="C27" s="85" t="s">
        <v>16</v>
      </c>
      <c r="D27" s="42" t="s">
        <v>20</v>
      </c>
      <c r="E27" s="94" t="s">
        <v>48</v>
      </c>
    </row>
    <row r="28" spans="1:5" x14ac:dyDescent="0.25">
      <c r="A28" s="21" t="s">
        <v>69</v>
      </c>
      <c r="B28" s="90" t="s">
        <v>32</v>
      </c>
      <c r="C28" s="85" t="s">
        <v>16</v>
      </c>
      <c r="D28" s="89" t="s">
        <v>742</v>
      </c>
      <c r="E28" s="94" t="s">
        <v>48</v>
      </c>
    </row>
    <row r="29" spans="1:5" x14ac:dyDescent="0.25">
      <c r="A29" s="21" t="s">
        <v>73</v>
      </c>
      <c r="B29" s="90" t="s">
        <v>32</v>
      </c>
      <c r="C29" s="91" t="s">
        <v>29</v>
      </c>
      <c r="D29" s="42" t="s">
        <v>741</v>
      </c>
      <c r="E29" s="86" t="s">
        <v>18</v>
      </c>
    </row>
    <row r="30" spans="1:5" x14ac:dyDescent="0.25">
      <c r="A30" s="21" t="s">
        <v>72</v>
      </c>
      <c r="B30" s="84" t="s">
        <v>15</v>
      </c>
      <c r="C30" s="91" t="s">
        <v>29</v>
      </c>
      <c r="D30" s="42" t="s">
        <v>20</v>
      </c>
      <c r="E30" s="93" t="s">
        <v>44</v>
      </c>
    </row>
    <row r="31" spans="1:5" x14ac:dyDescent="0.25">
      <c r="A31" s="21" t="s">
        <v>76</v>
      </c>
      <c r="B31" s="90" t="s">
        <v>32</v>
      </c>
      <c r="C31" s="91" t="s">
        <v>29</v>
      </c>
      <c r="D31" s="42" t="s">
        <v>741</v>
      </c>
      <c r="E31" s="93" t="s">
        <v>44</v>
      </c>
    </row>
    <row r="32" spans="1:5" x14ac:dyDescent="0.25">
      <c r="A32" s="21" t="s">
        <v>75</v>
      </c>
      <c r="B32" s="87" t="s">
        <v>21</v>
      </c>
      <c r="C32" s="91" t="s">
        <v>29</v>
      </c>
      <c r="D32" s="42" t="s">
        <v>20</v>
      </c>
      <c r="E32" s="93" t="s">
        <v>44</v>
      </c>
    </row>
    <row r="33" spans="1:5" x14ac:dyDescent="0.25">
      <c r="A33" s="21" t="s">
        <v>79</v>
      </c>
      <c r="B33" s="87" t="s">
        <v>21</v>
      </c>
      <c r="C33" s="62" t="s">
        <v>62</v>
      </c>
      <c r="D33" s="42" t="s">
        <v>741</v>
      </c>
      <c r="E33" s="86" t="s">
        <v>18</v>
      </c>
    </row>
    <row r="34" spans="1:5" x14ac:dyDescent="0.25">
      <c r="A34" s="21" t="s">
        <v>78</v>
      </c>
      <c r="B34" s="90" t="s">
        <v>32</v>
      </c>
      <c r="C34" s="62" t="s">
        <v>62</v>
      </c>
      <c r="D34" s="89" t="s">
        <v>24</v>
      </c>
      <c r="E34" s="86" t="s">
        <v>18</v>
      </c>
    </row>
    <row r="35" spans="1:5" x14ac:dyDescent="0.25">
      <c r="A35" s="21" t="s">
        <v>82</v>
      </c>
      <c r="B35" s="90" t="s">
        <v>32</v>
      </c>
      <c r="C35" s="62" t="s">
        <v>62</v>
      </c>
      <c r="D35" s="42" t="s">
        <v>741</v>
      </c>
      <c r="E35" s="93" t="s">
        <v>44</v>
      </c>
    </row>
    <row r="36" spans="1:5" x14ac:dyDescent="0.25">
      <c r="A36" s="21" t="s">
        <v>81</v>
      </c>
      <c r="B36" s="84" t="s">
        <v>15</v>
      </c>
      <c r="C36" s="62" t="s">
        <v>62</v>
      </c>
      <c r="D36" s="42" t="s">
        <v>20</v>
      </c>
      <c r="E36" s="93" t="s">
        <v>44</v>
      </c>
    </row>
    <row r="37" spans="1:5" x14ac:dyDescent="0.25">
      <c r="A37" s="21" t="s">
        <v>85</v>
      </c>
      <c r="B37" s="84" t="s">
        <v>15</v>
      </c>
      <c r="C37" s="91" t="s">
        <v>29</v>
      </c>
      <c r="D37" s="42" t="s">
        <v>741</v>
      </c>
      <c r="E37" s="95" t="s">
        <v>52</v>
      </c>
    </row>
    <row r="38" spans="1:5" x14ac:dyDescent="0.25">
      <c r="A38" s="21" t="s">
        <v>84</v>
      </c>
      <c r="B38" s="87" t="s">
        <v>21</v>
      </c>
      <c r="C38" s="91" t="s">
        <v>29</v>
      </c>
      <c r="D38" s="42" t="s">
        <v>20</v>
      </c>
      <c r="E38" s="95" t="s">
        <v>52</v>
      </c>
    </row>
    <row r="39" spans="1:5" x14ac:dyDescent="0.25">
      <c r="A39" s="21" t="s">
        <v>88</v>
      </c>
      <c r="B39" s="90" t="s">
        <v>32</v>
      </c>
      <c r="C39" s="62" t="s">
        <v>62</v>
      </c>
      <c r="D39" s="42" t="s">
        <v>741</v>
      </c>
      <c r="E39" s="88" t="s">
        <v>25</v>
      </c>
    </row>
    <row r="40" spans="1:5" x14ac:dyDescent="0.25">
      <c r="A40" s="21" t="s">
        <v>87</v>
      </c>
      <c r="B40" s="84" t="s">
        <v>15</v>
      </c>
      <c r="C40" s="62" t="s">
        <v>62</v>
      </c>
      <c r="D40" s="40" t="s">
        <v>740</v>
      </c>
      <c r="E40" s="88" t="s">
        <v>25</v>
      </c>
    </row>
    <row r="41" spans="1:5" x14ac:dyDescent="0.25">
      <c r="A41" s="21" t="s">
        <v>91</v>
      </c>
      <c r="B41" s="84" t="s">
        <v>15</v>
      </c>
      <c r="C41" s="91" t="s">
        <v>29</v>
      </c>
      <c r="D41" s="40" t="s">
        <v>743</v>
      </c>
      <c r="E41" s="93" t="s">
        <v>44</v>
      </c>
    </row>
    <row r="42" spans="1:5" x14ac:dyDescent="0.25">
      <c r="A42" s="21" t="s">
        <v>90</v>
      </c>
      <c r="B42" s="90" t="s">
        <v>32</v>
      </c>
      <c r="C42" s="91" t="s">
        <v>29</v>
      </c>
      <c r="D42" s="42" t="s">
        <v>20</v>
      </c>
      <c r="E42" s="93" t="s">
        <v>44</v>
      </c>
    </row>
    <row r="43" spans="1:5" x14ac:dyDescent="0.25">
      <c r="A43" s="21" t="s">
        <v>94</v>
      </c>
      <c r="B43" s="90" t="s">
        <v>32</v>
      </c>
      <c r="C43" s="91" t="s">
        <v>29</v>
      </c>
      <c r="D43" s="42" t="s">
        <v>741</v>
      </c>
      <c r="E43" s="95" t="s">
        <v>52</v>
      </c>
    </row>
    <row r="44" spans="1:5" x14ac:dyDescent="0.25">
      <c r="A44" s="21" t="s">
        <v>93</v>
      </c>
      <c r="B44" s="87" t="s">
        <v>21</v>
      </c>
      <c r="C44" s="91" t="s">
        <v>29</v>
      </c>
      <c r="D44" s="89" t="s">
        <v>742</v>
      </c>
      <c r="E44" s="95" t="s">
        <v>52</v>
      </c>
    </row>
    <row r="45" spans="1:5" x14ac:dyDescent="0.25">
      <c r="A45" s="21" t="s">
        <v>97</v>
      </c>
      <c r="B45" s="84" t="s">
        <v>15</v>
      </c>
      <c r="C45" s="85" t="s">
        <v>16</v>
      </c>
      <c r="D45" s="42" t="s">
        <v>741</v>
      </c>
      <c r="E45" s="93" t="s">
        <v>44</v>
      </c>
    </row>
    <row r="46" spans="1:5" x14ac:dyDescent="0.25">
      <c r="A46" s="21" t="s">
        <v>96</v>
      </c>
      <c r="B46" s="90" t="s">
        <v>32</v>
      </c>
      <c r="C46" s="85" t="s">
        <v>16</v>
      </c>
      <c r="D46" s="42" t="s">
        <v>20</v>
      </c>
      <c r="E46" s="95" t="s">
        <v>52</v>
      </c>
    </row>
    <row r="47" spans="1:5" x14ac:dyDescent="0.25">
      <c r="A47" s="21" t="s">
        <v>100</v>
      </c>
      <c r="B47" s="90" t="s">
        <v>32</v>
      </c>
      <c r="C47" s="62" t="s">
        <v>62</v>
      </c>
      <c r="D47" s="42" t="s">
        <v>741</v>
      </c>
      <c r="E47" s="93" t="s">
        <v>44</v>
      </c>
    </row>
    <row r="48" spans="1:5" x14ac:dyDescent="0.25">
      <c r="A48" s="21" t="s">
        <v>99</v>
      </c>
      <c r="B48" s="84" t="s">
        <v>15</v>
      </c>
      <c r="C48" s="62" t="s">
        <v>62</v>
      </c>
      <c r="D48" s="42" t="s">
        <v>20</v>
      </c>
      <c r="E48" s="93" t="s">
        <v>44</v>
      </c>
    </row>
    <row r="49" spans="1:5" x14ac:dyDescent="0.25">
      <c r="A49" s="21" t="s">
        <v>103</v>
      </c>
      <c r="B49" s="84" t="s">
        <v>15</v>
      </c>
      <c r="C49" s="62" t="s">
        <v>62</v>
      </c>
      <c r="D49" s="42" t="s">
        <v>741</v>
      </c>
      <c r="E49" s="95" t="s">
        <v>52</v>
      </c>
    </row>
    <row r="50" spans="1:5" x14ac:dyDescent="0.25">
      <c r="A50" s="21" t="s">
        <v>102</v>
      </c>
      <c r="B50" s="87" t="s">
        <v>21</v>
      </c>
      <c r="C50" s="62" t="s">
        <v>62</v>
      </c>
      <c r="D50" s="42" t="s">
        <v>20</v>
      </c>
      <c r="E50" s="86" t="s">
        <v>18</v>
      </c>
    </row>
    <row r="51" spans="1:5" x14ac:dyDescent="0.25">
      <c r="A51" s="21" t="s">
        <v>106</v>
      </c>
      <c r="B51" s="90" t="s">
        <v>32</v>
      </c>
      <c r="C51" s="91" t="s">
        <v>29</v>
      </c>
      <c r="D51" s="40" t="s">
        <v>743</v>
      </c>
      <c r="E51" s="88" t="s">
        <v>25</v>
      </c>
    </row>
    <row r="52" spans="1:5" x14ac:dyDescent="0.25">
      <c r="A52" s="21" t="s">
        <v>105</v>
      </c>
      <c r="B52" s="84" t="s">
        <v>15</v>
      </c>
      <c r="C52" s="91" t="s">
        <v>29</v>
      </c>
      <c r="D52" s="42" t="s">
        <v>20</v>
      </c>
      <c r="E52" s="88" t="s">
        <v>25</v>
      </c>
    </row>
    <row r="53" spans="1:5" x14ac:dyDescent="0.25">
      <c r="A53" s="21" t="s">
        <v>109</v>
      </c>
      <c r="B53" s="87" t="s">
        <v>21</v>
      </c>
      <c r="C53" s="91" t="s">
        <v>29</v>
      </c>
      <c r="D53" s="42" t="s">
        <v>741</v>
      </c>
      <c r="E53" s="95" t="s">
        <v>52</v>
      </c>
    </row>
    <row r="54" spans="1:5" x14ac:dyDescent="0.25">
      <c r="A54" s="21" t="s">
        <v>108</v>
      </c>
      <c r="B54" s="90" t="s">
        <v>32</v>
      </c>
      <c r="C54" s="91" t="s">
        <v>29</v>
      </c>
      <c r="D54" s="42" t="s">
        <v>20</v>
      </c>
      <c r="E54" s="95" t="s">
        <v>52</v>
      </c>
    </row>
    <row r="55" spans="1:5" x14ac:dyDescent="0.25">
      <c r="A55" s="21" t="s">
        <v>112</v>
      </c>
      <c r="B55" s="87" t="s">
        <v>21</v>
      </c>
      <c r="C55" s="91" t="s">
        <v>29</v>
      </c>
      <c r="D55" s="42" t="s">
        <v>741</v>
      </c>
      <c r="E55" s="86" t="s">
        <v>18</v>
      </c>
    </row>
    <row r="56" spans="1:5" x14ac:dyDescent="0.25">
      <c r="A56" s="21" t="s">
        <v>111</v>
      </c>
      <c r="B56" s="84" t="s">
        <v>15</v>
      </c>
      <c r="C56" s="91" t="s">
        <v>29</v>
      </c>
      <c r="D56" s="89" t="s">
        <v>742</v>
      </c>
      <c r="E56" s="86" t="s">
        <v>18</v>
      </c>
    </row>
    <row r="57" spans="1:5" x14ac:dyDescent="0.25">
      <c r="A57" s="21" t="s">
        <v>115</v>
      </c>
      <c r="B57" s="90" t="s">
        <v>32</v>
      </c>
      <c r="C57" s="91" t="s">
        <v>29</v>
      </c>
      <c r="D57" s="42" t="s">
        <v>20</v>
      </c>
      <c r="E57" s="96" t="s">
        <v>66</v>
      </c>
    </row>
    <row r="58" spans="1:5" x14ac:dyDescent="0.25">
      <c r="A58" s="21" t="s">
        <v>114</v>
      </c>
      <c r="B58" s="84" t="s">
        <v>15</v>
      </c>
      <c r="C58" s="91" t="s">
        <v>29</v>
      </c>
      <c r="D58" s="42" t="s">
        <v>20</v>
      </c>
      <c r="E58" s="86" t="s">
        <v>18</v>
      </c>
    </row>
    <row r="59" spans="1:5" x14ac:dyDescent="0.25">
      <c r="A59" s="21" t="s">
        <v>118</v>
      </c>
      <c r="B59" s="87" t="s">
        <v>21</v>
      </c>
      <c r="C59" s="62" t="s">
        <v>62</v>
      </c>
      <c r="D59" s="42" t="s">
        <v>741</v>
      </c>
      <c r="E59" s="96" t="s">
        <v>66</v>
      </c>
    </row>
    <row r="60" spans="1:5" x14ac:dyDescent="0.25">
      <c r="A60" s="21" t="s">
        <v>117</v>
      </c>
      <c r="B60" s="84" t="s">
        <v>15</v>
      </c>
      <c r="C60" s="62" t="s">
        <v>62</v>
      </c>
      <c r="D60" s="42" t="s">
        <v>20</v>
      </c>
      <c r="E60" s="96" t="s">
        <v>66</v>
      </c>
    </row>
    <row r="61" spans="1:5" x14ac:dyDescent="0.25">
      <c r="A61" s="21" t="s">
        <v>121</v>
      </c>
      <c r="B61" s="84" t="s">
        <v>15</v>
      </c>
      <c r="C61" s="85" t="s">
        <v>16</v>
      </c>
      <c r="D61" s="42" t="s">
        <v>741</v>
      </c>
      <c r="E61" s="88" t="s">
        <v>25</v>
      </c>
    </row>
    <row r="62" spans="1:5" x14ac:dyDescent="0.25">
      <c r="A62" s="21" t="s">
        <v>120</v>
      </c>
      <c r="B62" s="87" t="s">
        <v>21</v>
      </c>
      <c r="C62" s="85" t="s">
        <v>16</v>
      </c>
      <c r="D62" s="89" t="s">
        <v>24</v>
      </c>
      <c r="E62" s="88" t="s">
        <v>25</v>
      </c>
    </row>
    <row r="63" spans="1:5" x14ac:dyDescent="0.25">
      <c r="A63" s="21" t="s">
        <v>125</v>
      </c>
      <c r="B63" s="84" t="s">
        <v>15</v>
      </c>
      <c r="C63" s="91" t="s">
        <v>29</v>
      </c>
      <c r="D63" s="40" t="s">
        <v>740</v>
      </c>
      <c r="E63" s="93" t="s">
        <v>44</v>
      </c>
    </row>
    <row r="64" spans="1:5" x14ac:dyDescent="0.25">
      <c r="A64" s="21" t="s">
        <v>123</v>
      </c>
      <c r="B64" s="90" t="s">
        <v>32</v>
      </c>
      <c r="C64" s="91" t="s">
        <v>29</v>
      </c>
      <c r="D64" s="97" t="s">
        <v>745</v>
      </c>
      <c r="E64" s="93" t="s">
        <v>44</v>
      </c>
    </row>
    <row r="65" spans="1:5" x14ac:dyDescent="0.25">
      <c r="A65" s="21" t="s">
        <v>128</v>
      </c>
      <c r="B65" s="87" t="s">
        <v>21</v>
      </c>
      <c r="C65" s="91" t="s">
        <v>29</v>
      </c>
      <c r="D65" s="40" t="s">
        <v>740</v>
      </c>
      <c r="E65" s="93" t="s">
        <v>44</v>
      </c>
    </row>
    <row r="66" spans="1:5" x14ac:dyDescent="0.25">
      <c r="A66" s="21" t="s">
        <v>127</v>
      </c>
      <c r="B66" s="90" t="s">
        <v>32</v>
      </c>
      <c r="C66" s="91" t="s">
        <v>29</v>
      </c>
      <c r="D66" s="42" t="s">
        <v>20</v>
      </c>
      <c r="E66" s="93" t="s">
        <v>44</v>
      </c>
    </row>
    <row r="67" spans="1:5" x14ac:dyDescent="0.25">
      <c r="A67" s="21" t="s">
        <v>131</v>
      </c>
      <c r="B67" s="84" t="s">
        <v>15</v>
      </c>
      <c r="C67" s="85" t="s">
        <v>16</v>
      </c>
      <c r="D67" s="42" t="s">
        <v>741</v>
      </c>
      <c r="E67" s="86" t="s">
        <v>18</v>
      </c>
    </row>
    <row r="68" spans="1:5" x14ac:dyDescent="0.25">
      <c r="A68" s="21" t="s">
        <v>130</v>
      </c>
      <c r="B68" s="87" t="s">
        <v>21</v>
      </c>
      <c r="C68" s="85" t="s">
        <v>16</v>
      </c>
      <c r="D68" s="42" t="s">
        <v>20</v>
      </c>
      <c r="E68" s="86" t="s">
        <v>18</v>
      </c>
    </row>
    <row r="69" spans="1:5" x14ac:dyDescent="0.25">
      <c r="A69" s="21" t="s">
        <v>134</v>
      </c>
      <c r="B69" s="87" t="s">
        <v>21</v>
      </c>
      <c r="C69" s="85" t="s">
        <v>16</v>
      </c>
      <c r="D69" s="40" t="s">
        <v>740</v>
      </c>
      <c r="E69" s="94" t="s">
        <v>48</v>
      </c>
    </row>
    <row r="70" spans="1:5" x14ac:dyDescent="0.25">
      <c r="A70" s="21" t="s">
        <v>133</v>
      </c>
      <c r="B70" s="84" t="s">
        <v>15</v>
      </c>
      <c r="C70" s="85" t="s">
        <v>16</v>
      </c>
      <c r="D70" s="42" t="s">
        <v>20</v>
      </c>
      <c r="E70" s="93" t="s">
        <v>44</v>
      </c>
    </row>
    <row r="71" spans="1:5" x14ac:dyDescent="0.25">
      <c r="A71" s="21" t="s">
        <v>137</v>
      </c>
      <c r="B71" s="84" t="s">
        <v>15</v>
      </c>
      <c r="C71" s="62" t="s">
        <v>62</v>
      </c>
      <c r="D71" s="42" t="s">
        <v>741</v>
      </c>
      <c r="E71" s="94" t="s">
        <v>48</v>
      </c>
    </row>
    <row r="72" spans="1:5" x14ac:dyDescent="0.25">
      <c r="A72" s="21" t="s">
        <v>136</v>
      </c>
      <c r="B72" s="90" t="s">
        <v>32</v>
      </c>
      <c r="C72" s="62" t="s">
        <v>62</v>
      </c>
      <c r="D72" s="42" t="s">
        <v>20</v>
      </c>
      <c r="E72" s="94" t="s">
        <v>48</v>
      </c>
    </row>
    <row r="73" spans="1:5" x14ac:dyDescent="0.25">
      <c r="A73" s="21" t="s">
        <v>140</v>
      </c>
      <c r="B73" s="84" t="s">
        <v>15</v>
      </c>
      <c r="C73" s="91" t="s">
        <v>29</v>
      </c>
      <c r="D73" s="42" t="s">
        <v>20</v>
      </c>
      <c r="E73" s="93" t="s">
        <v>44</v>
      </c>
    </row>
    <row r="74" spans="1:5" x14ac:dyDescent="0.25">
      <c r="A74" s="21" t="s">
        <v>139</v>
      </c>
      <c r="B74" s="87" t="s">
        <v>21</v>
      </c>
      <c r="C74" s="91" t="s">
        <v>29</v>
      </c>
      <c r="D74" s="42" t="s">
        <v>20</v>
      </c>
      <c r="E74" s="93" t="s">
        <v>44</v>
      </c>
    </row>
    <row r="75" spans="1:5" x14ac:dyDescent="0.25">
      <c r="A75" s="21" t="s">
        <v>143</v>
      </c>
      <c r="B75" s="84" t="s">
        <v>15</v>
      </c>
      <c r="C75" s="91" t="s">
        <v>29</v>
      </c>
      <c r="D75" s="42" t="s">
        <v>741</v>
      </c>
      <c r="E75" s="88" t="s">
        <v>25</v>
      </c>
    </row>
    <row r="76" spans="1:5" x14ac:dyDescent="0.25">
      <c r="A76" s="21" t="s">
        <v>142</v>
      </c>
      <c r="B76" s="90" t="s">
        <v>32</v>
      </c>
      <c r="C76" s="91" t="s">
        <v>29</v>
      </c>
      <c r="D76" s="42" t="s">
        <v>20</v>
      </c>
      <c r="E76" s="88" t="s">
        <v>25</v>
      </c>
    </row>
    <row r="77" spans="1:5" x14ac:dyDescent="0.25">
      <c r="A77" s="21" t="s">
        <v>147</v>
      </c>
      <c r="B77" s="87" t="s">
        <v>21</v>
      </c>
      <c r="C77" s="62" t="s">
        <v>62</v>
      </c>
      <c r="D77" s="42" t="s">
        <v>741</v>
      </c>
      <c r="E77" s="94" t="s">
        <v>48</v>
      </c>
    </row>
    <row r="78" spans="1:5" x14ac:dyDescent="0.25">
      <c r="A78" s="21" t="s">
        <v>145</v>
      </c>
      <c r="B78" s="84" t="s">
        <v>15</v>
      </c>
      <c r="C78" s="62" t="s">
        <v>62</v>
      </c>
      <c r="D78" s="42" t="s">
        <v>744</v>
      </c>
      <c r="E78" s="94" t="s">
        <v>48</v>
      </c>
    </row>
    <row r="79" spans="1:5" x14ac:dyDescent="0.25">
      <c r="A79" s="21" t="s">
        <v>150</v>
      </c>
      <c r="B79" s="84" t="s">
        <v>15</v>
      </c>
      <c r="C79" s="62" t="s">
        <v>62</v>
      </c>
      <c r="D79" s="42" t="s">
        <v>741</v>
      </c>
      <c r="E79" s="86" t="s">
        <v>18</v>
      </c>
    </row>
    <row r="80" spans="1:5" x14ac:dyDescent="0.25">
      <c r="A80" s="21" t="s">
        <v>149</v>
      </c>
      <c r="B80" s="87" t="s">
        <v>21</v>
      </c>
      <c r="C80" s="62" t="s">
        <v>62</v>
      </c>
      <c r="D80" s="42" t="s">
        <v>20</v>
      </c>
      <c r="E80" s="86" t="s">
        <v>18</v>
      </c>
    </row>
    <row r="81" spans="1:5" x14ac:dyDescent="0.25">
      <c r="A81" s="21" t="s">
        <v>153</v>
      </c>
      <c r="B81" s="84" t="s">
        <v>15</v>
      </c>
      <c r="C81" s="62" t="s">
        <v>62</v>
      </c>
      <c r="D81" s="42" t="s">
        <v>741</v>
      </c>
      <c r="E81" s="94" t="s">
        <v>48</v>
      </c>
    </row>
    <row r="82" spans="1:5" x14ac:dyDescent="0.25">
      <c r="A82" s="21" t="s">
        <v>152</v>
      </c>
      <c r="B82" s="90" t="s">
        <v>32</v>
      </c>
      <c r="C82" s="62" t="s">
        <v>62</v>
      </c>
      <c r="D82" s="42" t="s">
        <v>20</v>
      </c>
      <c r="E82" s="94" t="s">
        <v>48</v>
      </c>
    </row>
    <row r="83" spans="1:5" x14ac:dyDescent="0.25">
      <c r="A83" s="21" t="s">
        <v>156</v>
      </c>
      <c r="B83" s="90" t="s">
        <v>32</v>
      </c>
      <c r="C83" s="62" t="s">
        <v>62</v>
      </c>
      <c r="D83" s="40" t="s">
        <v>743</v>
      </c>
      <c r="E83" s="95" t="s">
        <v>52</v>
      </c>
    </row>
    <row r="84" spans="1:5" x14ac:dyDescent="0.25">
      <c r="A84" s="21" t="s">
        <v>155</v>
      </c>
      <c r="B84" s="84" t="s">
        <v>15</v>
      </c>
      <c r="C84" s="62" t="s">
        <v>62</v>
      </c>
      <c r="D84" s="40" t="s">
        <v>740</v>
      </c>
      <c r="E84" s="95" t="s">
        <v>52</v>
      </c>
    </row>
    <row r="85" spans="1:5" x14ac:dyDescent="0.25">
      <c r="A85" s="21" t="s">
        <v>159</v>
      </c>
      <c r="B85" s="87" t="s">
        <v>21</v>
      </c>
      <c r="C85" s="91" t="s">
        <v>29</v>
      </c>
      <c r="D85" s="42" t="s">
        <v>741</v>
      </c>
      <c r="E85" s="88" t="s">
        <v>25</v>
      </c>
    </row>
    <row r="86" spans="1:5" x14ac:dyDescent="0.25">
      <c r="A86" s="21" t="s">
        <v>158</v>
      </c>
      <c r="B86" s="84" t="s">
        <v>15</v>
      </c>
      <c r="C86" s="91" t="s">
        <v>29</v>
      </c>
      <c r="D86" s="89" t="s">
        <v>24</v>
      </c>
      <c r="E86" s="88" t="s">
        <v>25</v>
      </c>
    </row>
    <row r="87" spans="1:5" x14ac:dyDescent="0.25">
      <c r="A87" s="21" t="s">
        <v>162</v>
      </c>
      <c r="B87" s="87" t="s">
        <v>21</v>
      </c>
      <c r="C87" s="91" t="s">
        <v>29</v>
      </c>
      <c r="D87" s="40" t="s">
        <v>743</v>
      </c>
      <c r="E87" s="86" t="s">
        <v>18</v>
      </c>
    </row>
    <row r="88" spans="1:5" x14ac:dyDescent="0.25">
      <c r="A88" s="21" t="s">
        <v>161</v>
      </c>
      <c r="B88" s="84" t="s">
        <v>15</v>
      </c>
      <c r="C88" s="91" t="s">
        <v>29</v>
      </c>
      <c r="D88" s="42" t="s">
        <v>20</v>
      </c>
      <c r="E88" s="86" t="s">
        <v>18</v>
      </c>
    </row>
    <row r="89" spans="1:5" x14ac:dyDescent="0.25">
      <c r="A89" s="21" t="s">
        <v>165</v>
      </c>
      <c r="B89" s="84" t="s">
        <v>15</v>
      </c>
      <c r="C89" s="85" t="s">
        <v>16</v>
      </c>
      <c r="D89" s="42" t="s">
        <v>741</v>
      </c>
      <c r="E89" s="95" t="s">
        <v>52</v>
      </c>
    </row>
    <row r="90" spans="1:5" x14ac:dyDescent="0.25">
      <c r="A90" s="21" t="s">
        <v>164</v>
      </c>
      <c r="B90" s="90" t="s">
        <v>32</v>
      </c>
      <c r="C90" s="85" t="s">
        <v>16</v>
      </c>
      <c r="D90" s="42" t="s">
        <v>20</v>
      </c>
      <c r="E90" s="95" t="s">
        <v>52</v>
      </c>
    </row>
    <row r="91" spans="1:5" x14ac:dyDescent="0.25">
      <c r="A91" s="21" t="s">
        <v>168</v>
      </c>
      <c r="B91" s="90" t="s">
        <v>32</v>
      </c>
      <c r="C91" s="62" t="s">
        <v>62</v>
      </c>
      <c r="D91" s="42" t="s">
        <v>741</v>
      </c>
      <c r="E91" s="95" t="s">
        <v>52</v>
      </c>
    </row>
    <row r="92" spans="1:5" x14ac:dyDescent="0.25">
      <c r="A92" s="21" t="s">
        <v>167</v>
      </c>
      <c r="B92" s="87" t="s">
        <v>21</v>
      </c>
      <c r="C92" s="62" t="s">
        <v>62</v>
      </c>
      <c r="D92" s="42" t="s">
        <v>20</v>
      </c>
      <c r="E92" s="95" t="s">
        <v>52</v>
      </c>
    </row>
    <row r="93" spans="1:5" x14ac:dyDescent="0.25">
      <c r="A93" s="21" t="s">
        <v>171</v>
      </c>
      <c r="B93" s="90" t="s">
        <v>32</v>
      </c>
      <c r="C93" s="91" t="s">
        <v>29</v>
      </c>
      <c r="D93" s="42" t="s">
        <v>741</v>
      </c>
      <c r="E93" s="88" t="s">
        <v>25</v>
      </c>
    </row>
    <row r="94" spans="1:5" x14ac:dyDescent="0.25">
      <c r="A94" s="21" t="s">
        <v>170</v>
      </c>
      <c r="B94" s="87" t="s">
        <v>21</v>
      </c>
      <c r="C94" s="91" t="s">
        <v>29</v>
      </c>
      <c r="D94" s="92" t="s">
        <v>24</v>
      </c>
      <c r="E94" s="88" t="s">
        <v>25</v>
      </c>
    </row>
    <row r="95" spans="1:5" x14ac:dyDescent="0.25">
      <c r="A95" s="21" t="s">
        <v>174</v>
      </c>
      <c r="B95" s="87" t="s">
        <v>21</v>
      </c>
      <c r="C95" s="62" t="s">
        <v>62</v>
      </c>
      <c r="D95" s="42" t="s">
        <v>20</v>
      </c>
      <c r="E95" s="86" t="s">
        <v>18</v>
      </c>
    </row>
    <row r="96" spans="1:5" x14ac:dyDescent="0.25">
      <c r="A96" s="21" t="s">
        <v>173</v>
      </c>
      <c r="B96" s="84" t="s">
        <v>15</v>
      </c>
      <c r="C96" s="62" t="s">
        <v>62</v>
      </c>
      <c r="D96" s="89" t="s">
        <v>742</v>
      </c>
      <c r="E96" s="86" t="s">
        <v>18</v>
      </c>
    </row>
    <row r="97" spans="1:5" x14ac:dyDescent="0.25">
      <c r="A97" s="21" t="s">
        <v>177</v>
      </c>
      <c r="B97" s="84" t="s">
        <v>15</v>
      </c>
      <c r="C97" s="85" t="s">
        <v>16</v>
      </c>
      <c r="D97" s="42" t="s">
        <v>741</v>
      </c>
      <c r="E97" s="95" t="s">
        <v>52</v>
      </c>
    </row>
    <row r="98" spans="1:5" x14ac:dyDescent="0.25">
      <c r="A98" s="21" t="s">
        <v>176</v>
      </c>
      <c r="B98" s="90" t="s">
        <v>32</v>
      </c>
      <c r="C98" s="85" t="s">
        <v>16</v>
      </c>
      <c r="D98" s="42" t="s">
        <v>20</v>
      </c>
      <c r="E98" s="95" t="s">
        <v>52</v>
      </c>
    </row>
    <row r="99" spans="1:5" x14ac:dyDescent="0.25">
      <c r="A99" s="21" t="s">
        <v>180</v>
      </c>
      <c r="B99" s="84" t="s">
        <v>15</v>
      </c>
      <c r="C99" s="91" t="s">
        <v>29</v>
      </c>
      <c r="D99" s="42" t="s">
        <v>741</v>
      </c>
      <c r="E99" s="96" t="s">
        <v>66</v>
      </c>
    </row>
    <row r="100" spans="1:5" x14ac:dyDescent="0.25">
      <c r="A100" s="21" t="s">
        <v>179</v>
      </c>
      <c r="B100" s="87" t="s">
        <v>21</v>
      </c>
      <c r="C100" s="91" t="s">
        <v>29</v>
      </c>
      <c r="D100" s="42" t="s">
        <v>20</v>
      </c>
      <c r="E100" s="96" t="s">
        <v>66</v>
      </c>
    </row>
    <row r="101" spans="1:5" x14ac:dyDescent="0.25">
      <c r="A101" s="21" t="s">
        <v>183</v>
      </c>
      <c r="B101" s="87" t="s">
        <v>21</v>
      </c>
      <c r="C101" s="91" t="s">
        <v>29</v>
      </c>
      <c r="D101" s="40" t="s">
        <v>740</v>
      </c>
      <c r="E101" s="94" t="s">
        <v>48</v>
      </c>
    </row>
    <row r="102" spans="1:5" x14ac:dyDescent="0.25">
      <c r="A102" s="21" t="s">
        <v>182</v>
      </c>
      <c r="B102" s="90" t="s">
        <v>32</v>
      </c>
      <c r="C102" s="91" t="s">
        <v>29</v>
      </c>
      <c r="D102" s="42" t="s">
        <v>744</v>
      </c>
      <c r="E102" s="94" t="s">
        <v>48</v>
      </c>
    </row>
    <row r="103" spans="1:5" x14ac:dyDescent="0.25">
      <c r="A103" s="21" t="s">
        <v>186</v>
      </c>
      <c r="B103" s="87" t="s">
        <v>21</v>
      </c>
      <c r="C103" s="91" t="s">
        <v>29</v>
      </c>
      <c r="D103" s="42" t="s">
        <v>741</v>
      </c>
      <c r="E103" s="96" t="s">
        <v>66</v>
      </c>
    </row>
    <row r="104" spans="1:5" x14ac:dyDescent="0.25">
      <c r="A104" s="21" t="s">
        <v>185</v>
      </c>
      <c r="B104" s="90" t="s">
        <v>32</v>
      </c>
      <c r="C104" s="91" t="s">
        <v>29</v>
      </c>
      <c r="D104" s="89" t="s">
        <v>24</v>
      </c>
      <c r="E104" s="96" t="s">
        <v>66</v>
      </c>
    </row>
    <row r="105" spans="1:5" x14ac:dyDescent="0.25">
      <c r="A105" s="21" t="s">
        <v>189</v>
      </c>
      <c r="B105" s="87" t="s">
        <v>21</v>
      </c>
      <c r="C105" s="85" t="s">
        <v>16</v>
      </c>
      <c r="D105" s="42" t="s">
        <v>741</v>
      </c>
      <c r="E105" s="93" t="s">
        <v>44</v>
      </c>
    </row>
    <row r="106" spans="1:5" x14ac:dyDescent="0.25">
      <c r="A106" s="21" t="s">
        <v>188</v>
      </c>
      <c r="B106" s="84" t="s">
        <v>15</v>
      </c>
      <c r="C106" s="85" t="s">
        <v>16</v>
      </c>
      <c r="D106" s="92" t="s">
        <v>24</v>
      </c>
      <c r="E106" s="93" t="s">
        <v>44</v>
      </c>
    </row>
    <row r="107" spans="1:5" x14ac:dyDescent="0.25">
      <c r="A107" s="21" t="s">
        <v>192</v>
      </c>
      <c r="B107" s="90" t="s">
        <v>32</v>
      </c>
      <c r="C107" s="85" t="s">
        <v>16</v>
      </c>
      <c r="D107" s="42" t="s">
        <v>741</v>
      </c>
      <c r="E107" s="94" t="s">
        <v>48</v>
      </c>
    </row>
    <row r="108" spans="1:5" x14ac:dyDescent="0.25">
      <c r="A108" s="21" t="s">
        <v>191</v>
      </c>
      <c r="B108" s="87" t="s">
        <v>21</v>
      </c>
      <c r="C108" s="85" t="s">
        <v>16</v>
      </c>
      <c r="D108" s="42" t="s">
        <v>20</v>
      </c>
      <c r="E108" s="94" t="s">
        <v>48</v>
      </c>
    </row>
    <row r="109" spans="1:5" x14ac:dyDescent="0.25">
      <c r="A109" s="21" t="s">
        <v>195</v>
      </c>
      <c r="B109" s="90" t="s">
        <v>32</v>
      </c>
      <c r="C109" s="85" t="s">
        <v>16</v>
      </c>
      <c r="D109" s="42" t="s">
        <v>741</v>
      </c>
      <c r="E109" s="96" t="s">
        <v>66</v>
      </c>
    </row>
    <row r="110" spans="1:5" x14ac:dyDescent="0.25">
      <c r="A110" s="21" t="s">
        <v>194</v>
      </c>
      <c r="B110" s="87" t="s">
        <v>21</v>
      </c>
      <c r="C110" s="85" t="s">
        <v>16</v>
      </c>
      <c r="D110" s="42" t="s">
        <v>20</v>
      </c>
      <c r="E110" s="96" t="s">
        <v>66</v>
      </c>
    </row>
    <row r="111" spans="1:5" x14ac:dyDescent="0.25">
      <c r="A111" s="21" t="s">
        <v>198</v>
      </c>
      <c r="B111" s="87" t="s">
        <v>21</v>
      </c>
      <c r="C111" s="91" t="s">
        <v>29</v>
      </c>
      <c r="D111" s="42" t="s">
        <v>741</v>
      </c>
      <c r="E111" s="96" t="s">
        <v>66</v>
      </c>
    </row>
    <row r="112" spans="1:5" x14ac:dyDescent="0.25">
      <c r="A112" s="21" t="s">
        <v>197</v>
      </c>
      <c r="B112" s="90" t="s">
        <v>32</v>
      </c>
      <c r="C112" s="91" t="s">
        <v>29</v>
      </c>
      <c r="D112" s="42" t="s">
        <v>20</v>
      </c>
      <c r="E112" s="96" t="s">
        <v>66</v>
      </c>
    </row>
    <row r="113" spans="1:5" x14ac:dyDescent="0.25">
      <c r="A113" s="21" t="s">
        <v>201</v>
      </c>
      <c r="B113" s="90" t="s">
        <v>32</v>
      </c>
      <c r="C113" s="91" t="s">
        <v>29</v>
      </c>
      <c r="D113" s="42" t="s">
        <v>741</v>
      </c>
      <c r="E113" s="96" t="s">
        <v>66</v>
      </c>
    </row>
    <row r="114" spans="1:5" x14ac:dyDescent="0.25">
      <c r="A114" s="21" t="s">
        <v>200</v>
      </c>
      <c r="B114" s="87" t="s">
        <v>21</v>
      </c>
      <c r="C114" s="91" t="s">
        <v>29</v>
      </c>
      <c r="D114" s="92" t="s">
        <v>24</v>
      </c>
      <c r="E114" s="96" t="s">
        <v>66</v>
      </c>
    </row>
    <row r="115" spans="1:5" x14ac:dyDescent="0.25">
      <c r="A115" s="21" t="s">
        <v>204</v>
      </c>
      <c r="B115" s="84" t="s">
        <v>15</v>
      </c>
      <c r="C115" s="62" t="s">
        <v>62</v>
      </c>
      <c r="D115" s="42" t="s">
        <v>741</v>
      </c>
      <c r="E115" s="93" t="s">
        <v>44</v>
      </c>
    </row>
    <row r="116" spans="1:5" x14ac:dyDescent="0.25">
      <c r="A116" s="21" t="s">
        <v>203</v>
      </c>
      <c r="B116" s="87" t="s">
        <v>21</v>
      </c>
      <c r="C116" s="62" t="s">
        <v>62</v>
      </c>
      <c r="D116" s="42" t="s">
        <v>20</v>
      </c>
      <c r="E116" s="93" t="s">
        <v>44</v>
      </c>
    </row>
    <row r="117" spans="1:5" x14ac:dyDescent="0.25">
      <c r="A117" s="21" t="s">
        <v>207</v>
      </c>
      <c r="B117" s="84" t="s">
        <v>15</v>
      </c>
      <c r="C117" s="85" t="s">
        <v>16</v>
      </c>
      <c r="D117" s="42" t="s">
        <v>20</v>
      </c>
      <c r="E117" s="96" t="s">
        <v>66</v>
      </c>
    </row>
    <row r="118" spans="1:5" x14ac:dyDescent="0.25">
      <c r="A118" s="21" t="s">
        <v>206</v>
      </c>
      <c r="B118" s="87" t="s">
        <v>21</v>
      </c>
      <c r="C118" s="85" t="s">
        <v>16</v>
      </c>
      <c r="D118" s="89" t="s">
        <v>742</v>
      </c>
      <c r="E118" s="96" t="s">
        <v>66</v>
      </c>
    </row>
    <row r="119" spans="1:5" x14ac:dyDescent="0.25">
      <c r="A119" s="21" t="s">
        <v>210</v>
      </c>
      <c r="B119" s="84" t="s">
        <v>15</v>
      </c>
      <c r="C119" s="62" t="s">
        <v>62</v>
      </c>
      <c r="D119" s="42" t="s">
        <v>741</v>
      </c>
      <c r="E119" s="86" t="s">
        <v>18</v>
      </c>
    </row>
    <row r="120" spans="1:5" x14ac:dyDescent="0.25">
      <c r="A120" s="21" t="s">
        <v>209</v>
      </c>
      <c r="B120" s="90" t="s">
        <v>32</v>
      </c>
      <c r="C120" s="62" t="s">
        <v>62</v>
      </c>
      <c r="D120" s="42" t="s">
        <v>20</v>
      </c>
      <c r="E120" s="95" t="s">
        <v>52</v>
      </c>
    </row>
    <row r="121" spans="1:5" x14ac:dyDescent="0.25">
      <c r="A121" s="21" t="s">
        <v>213</v>
      </c>
      <c r="B121" s="87" t="s">
        <v>21</v>
      </c>
      <c r="C121" s="91" t="s">
        <v>29</v>
      </c>
      <c r="D121" s="42" t="s">
        <v>741</v>
      </c>
      <c r="E121" s="95" t="s">
        <v>52</v>
      </c>
    </row>
    <row r="122" spans="1:5" x14ac:dyDescent="0.25">
      <c r="A122" s="21" t="s">
        <v>212</v>
      </c>
      <c r="B122" s="90" t="s">
        <v>32</v>
      </c>
      <c r="C122" s="91" t="s">
        <v>29</v>
      </c>
      <c r="D122" s="92" t="s">
        <v>24</v>
      </c>
      <c r="E122" s="95" t="s">
        <v>52</v>
      </c>
    </row>
    <row r="123" spans="1:5" x14ac:dyDescent="0.25">
      <c r="A123" s="21" t="s">
        <v>216</v>
      </c>
      <c r="B123" s="84" t="s">
        <v>15</v>
      </c>
      <c r="C123" s="62" t="s">
        <v>62</v>
      </c>
      <c r="D123" s="42" t="s">
        <v>741</v>
      </c>
      <c r="E123" s="94" t="s">
        <v>48</v>
      </c>
    </row>
    <row r="124" spans="1:5" x14ac:dyDescent="0.25">
      <c r="A124" s="21" t="s">
        <v>215</v>
      </c>
      <c r="B124" s="87" t="s">
        <v>21</v>
      </c>
      <c r="C124" s="62" t="s">
        <v>62</v>
      </c>
      <c r="D124" s="42" t="s">
        <v>20</v>
      </c>
      <c r="E124" s="94" t="s">
        <v>48</v>
      </c>
    </row>
    <row r="125" spans="1:5" x14ac:dyDescent="0.25">
      <c r="A125" s="21" t="s">
        <v>219</v>
      </c>
      <c r="B125" s="90" t="s">
        <v>32</v>
      </c>
      <c r="C125" s="91" t="s">
        <v>29</v>
      </c>
      <c r="D125" s="42" t="s">
        <v>741</v>
      </c>
      <c r="E125" s="86" t="s">
        <v>18</v>
      </c>
    </row>
    <row r="126" spans="1:5" x14ac:dyDescent="0.25">
      <c r="A126" s="21" t="s">
        <v>218</v>
      </c>
      <c r="B126" s="87" t="s">
        <v>21</v>
      </c>
      <c r="C126" s="91" t="s">
        <v>29</v>
      </c>
      <c r="D126" s="42" t="s">
        <v>20</v>
      </c>
      <c r="E126" s="94" t="s">
        <v>48</v>
      </c>
    </row>
    <row r="127" spans="1:5" x14ac:dyDescent="0.25">
      <c r="A127" s="21" t="s">
        <v>222</v>
      </c>
      <c r="B127" s="90" t="s">
        <v>32</v>
      </c>
      <c r="C127" s="62" t="s">
        <v>62</v>
      </c>
      <c r="D127" s="42" t="s">
        <v>741</v>
      </c>
      <c r="E127" s="93" t="s">
        <v>44</v>
      </c>
    </row>
    <row r="128" spans="1:5" x14ac:dyDescent="0.25">
      <c r="A128" s="21" t="s">
        <v>221</v>
      </c>
      <c r="B128" s="84" t="s">
        <v>15</v>
      </c>
      <c r="C128" s="62" t="s">
        <v>62</v>
      </c>
      <c r="D128" s="89" t="s">
        <v>742</v>
      </c>
      <c r="E128" s="95" t="s">
        <v>52</v>
      </c>
    </row>
    <row r="129" spans="1:5" x14ac:dyDescent="0.25">
      <c r="A129" s="21" t="s">
        <v>225</v>
      </c>
      <c r="B129" s="90" t="s">
        <v>32</v>
      </c>
      <c r="C129" s="91" t="s">
        <v>29</v>
      </c>
      <c r="D129" s="89" t="s">
        <v>742</v>
      </c>
      <c r="E129" s="94" t="s">
        <v>48</v>
      </c>
    </row>
    <row r="130" spans="1:5" x14ac:dyDescent="0.25">
      <c r="A130" s="21" t="s">
        <v>224</v>
      </c>
      <c r="B130" s="87" t="s">
        <v>21</v>
      </c>
      <c r="C130" s="91" t="s">
        <v>29</v>
      </c>
      <c r="D130" s="18" t="s">
        <v>20</v>
      </c>
      <c r="E130" s="94" t="s">
        <v>48</v>
      </c>
    </row>
    <row r="131" spans="1:5" x14ac:dyDescent="0.25">
      <c r="A131" s="21" t="s">
        <v>228</v>
      </c>
      <c r="B131" s="90" t="s">
        <v>32</v>
      </c>
      <c r="C131" s="62" t="s">
        <v>62</v>
      </c>
      <c r="D131" s="89" t="s">
        <v>742</v>
      </c>
      <c r="E131" s="95" t="s">
        <v>52</v>
      </c>
    </row>
    <row r="132" spans="1:5" x14ac:dyDescent="0.25">
      <c r="A132" s="21" t="s">
        <v>227</v>
      </c>
      <c r="B132" s="87" t="s">
        <v>21</v>
      </c>
      <c r="C132" s="62" t="s">
        <v>62</v>
      </c>
      <c r="D132" s="89" t="s">
        <v>742</v>
      </c>
      <c r="E132" s="95" t="s">
        <v>52</v>
      </c>
    </row>
    <row r="133" spans="1:5" x14ac:dyDescent="0.25">
      <c r="A133" s="21" t="s">
        <v>231</v>
      </c>
      <c r="B133" s="87" t="s">
        <v>21</v>
      </c>
      <c r="C133" s="85" t="s">
        <v>16</v>
      </c>
      <c r="D133" s="42" t="s">
        <v>741</v>
      </c>
      <c r="E133" s="94" t="s">
        <v>48</v>
      </c>
    </row>
    <row r="134" spans="1:5" x14ac:dyDescent="0.25">
      <c r="A134" s="21" t="s">
        <v>230</v>
      </c>
      <c r="B134" s="84" t="s">
        <v>15</v>
      </c>
      <c r="C134" s="85" t="s">
        <v>16</v>
      </c>
      <c r="D134" s="40" t="s">
        <v>740</v>
      </c>
      <c r="E134" s="94" t="s">
        <v>48</v>
      </c>
    </row>
    <row r="135" spans="1:5" x14ac:dyDescent="0.25">
      <c r="A135" s="21" t="s">
        <v>234</v>
      </c>
      <c r="B135" s="90" t="s">
        <v>32</v>
      </c>
      <c r="C135" s="85" t="s">
        <v>16</v>
      </c>
      <c r="D135" s="40" t="s">
        <v>740</v>
      </c>
      <c r="E135" s="88" t="s">
        <v>25</v>
      </c>
    </row>
    <row r="136" spans="1:5" x14ac:dyDescent="0.25">
      <c r="A136" s="21" t="s">
        <v>233</v>
      </c>
      <c r="B136" s="84" t="s">
        <v>15</v>
      </c>
      <c r="C136" s="85" t="s">
        <v>16</v>
      </c>
      <c r="D136" s="42" t="s">
        <v>20</v>
      </c>
      <c r="E136" s="93" t="s">
        <v>44</v>
      </c>
    </row>
    <row r="137" spans="1:5" x14ac:dyDescent="0.25">
      <c r="A137" s="21" t="s">
        <v>237</v>
      </c>
      <c r="B137" s="90" t="s">
        <v>32</v>
      </c>
      <c r="C137" s="85" t="s">
        <v>16</v>
      </c>
      <c r="D137" s="42" t="s">
        <v>20</v>
      </c>
      <c r="E137" s="96" t="s">
        <v>66</v>
      </c>
    </row>
    <row r="138" spans="1:5" x14ac:dyDescent="0.25">
      <c r="A138" s="21" t="s">
        <v>236</v>
      </c>
      <c r="B138" s="84" t="s">
        <v>15</v>
      </c>
      <c r="C138" s="85" t="s">
        <v>16</v>
      </c>
      <c r="D138" s="89" t="s">
        <v>24</v>
      </c>
      <c r="E138" s="96" t="s">
        <v>66</v>
      </c>
    </row>
    <row r="139" spans="1:5" x14ac:dyDescent="0.25">
      <c r="A139" s="21" t="s">
        <v>240</v>
      </c>
      <c r="B139" s="87" t="s">
        <v>21</v>
      </c>
      <c r="C139" s="91" t="s">
        <v>29</v>
      </c>
      <c r="D139" s="42" t="s">
        <v>741</v>
      </c>
      <c r="E139" s="94" t="s">
        <v>48</v>
      </c>
    </row>
    <row r="140" spans="1:5" x14ac:dyDescent="0.25">
      <c r="A140" s="21" t="s">
        <v>239</v>
      </c>
      <c r="B140" s="90" t="s">
        <v>32</v>
      </c>
      <c r="C140" s="91" t="s">
        <v>29</v>
      </c>
      <c r="D140" s="89" t="s">
        <v>742</v>
      </c>
      <c r="E140" s="94" t="s">
        <v>48</v>
      </c>
    </row>
    <row r="141" spans="1:5" x14ac:dyDescent="0.25">
      <c r="A141" s="21" t="s">
        <v>243</v>
      </c>
      <c r="B141" s="84" t="s">
        <v>15</v>
      </c>
      <c r="C141" s="85" t="s">
        <v>16</v>
      </c>
      <c r="D141" s="42" t="s">
        <v>741</v>
      </c>
      <c r="E141" s="96" t="s">
        <v>66</v>
      </c>
    </row>
    <row r="142" spans="1:5" x14ac:dyDescent="0.25">
      <c r="A142" s="21" t="s">
        <v>242</v>
      </c>
      <c r="B142" s="90" t="s">
        <v>32</v>
      </c>
      <c r="C142" s="85" t="s">
        <v>16</v>
      </c>
      <c r="D142" s="42" t="s">
        <v>20</v>
      </c>
      <c r="E142" s="95" t="s">
        <v>52</v>
      </c>
    </row>
    <row r="143" spans="1:5" x14ac:dyDescent="0.25">
      <c r="A143" s="30" t="s">
        <v>246</v>
      </c>
      <c r="B143" s="90" t="s">
        <v>32</v>
      </c>
      <c r="C143" s="85" t="s">
        <v>16</v>
      </c>
      <c r="D143" s="61" t="s">
        <v>741</v>
      </c>
      <c r="E143" s="98" t="s">
        <v>66</v>
      </c>
    </row>
    <row r="144" spans="1:5" x14ac:dyDescent="0.25">
      <c r="A144" s="73" t="s">
        <v>245</v>
      </c>
      <c r="B144" s="99" t="s">
        <v>21</v>
      </c>
      <c r="C144" s="100" t="s">
        <v>16</v>
      </c>
      <c r="D144" s="101" t="s">
        <v>20</v>
      </c>
      <c r="E144" s="102" t="s">
        <v>66</v>
      </c>
    </row>
    <row r="145" spans="1:5" x14ac:dyDescent="0.25">
      <c r="A145" s="37" t="s">
        <v>250</v>
      </c>
      <c r="B145" s="103" t="s">
        <v>15</v>
      </c>
      <c r="C145" s="104" t="s">
        <v>16</v>
      </c>
      <c r="D145" s="53" t="s">
        <v>20</v>
      </c>
      <c r="E145" s="105" t="s">
        <v>25</v>
      </c>
    </row>
    <row r="146" spans="1:5" x14ac:dyDescent="0.25">
      <c r="A146" s="21" t="s">
        <v>248</v>
      </c>
      <c r="B146" s="90" t="s">
        <v>32</v>
      </c>
      <c r="C146" s="85" t="s">
        <v>16</v>
      </c>
      <c r="D146" s="89" t="s">
        <v>742</v>
      </c>
      <c r="E146" s="88" t="s">
        <v>25</v>
      </c>
    </row>
    <row r="147" spans="1:5" x14ac:dyDescent="0.25">
      <c r="A147" s="21" t="s">
        <v>253</v>
      </c>
      <c r="B147" s="90" t="s">
        <v>32</v>
      </c>
      <c r="C147" s="85" t="s">
        <v>16</v>
      </c>
      <c r="D147" s="42" t="s">
        <v>20</v>
      </c>
      <c r="E147" s="93" t="s">
        <v>44</v>
      </c>
    </row>
    <row r="148" spans="1:5" x14ac:dyDescent="0.25">
      <c r="A148" s="21" t="s">
        <v>252</v>
      </c>
      <c r="B148" s="84" t="s">
        <v>15</v>
      </c>
      <c r="C148" s="85" t="s">
        <v>16</v>
      </c>
      <c r="D148" s="89" t="s">
        <v>742</v>
      </c>
      <c r="E148" s="93" t="s">
        <v>44</v>
      </c>
    </row>
    <row r="149" spans="1:5" x14ac:dyDescent="0.25">
      <c r="A149" s="21" t="s">
        <v>256</v>
      </c>
      <c r="B149" s="90" t="s">
        <v>32</v>
      </c>
      <c r="C149" s="62" t="s">
        <v>62</v>
      </c>
      <c r="D149" s="42" t="s">
        <v>20</v>
      </c>
      <c r="E149" s="86" t="s">
        <v>18</v>
      </c>
    </row>
    <row r="150" spans="1:5" x14ac:dyDescent="0.25">
      <c r="A150" s="21" t="s">
        <v>255</v>
      </c>
      <c r="B150" s="84" t="s">
        <v>15</v>
      </c>
      <c r="C150" s="62" t="s">
        <v>62</v>
      </c>
      <c r="D150" s="42" t="s">
        <v>20</v>
      </c>
      <c r="E150" s="86" t="s">
        <v>18</v>
      </c>
    </row>
    <row r="151" spans="1:5" x14ac:dyDescent="0.25">
      <c r="A151" s="21" t="s">
        <v>260</v>
      </c>
      <c r="B151" s="84" t="s">
        <v>15</v>
      </c>
      <c r="C151" s="85" t="s">
        <v>16</v>
      </c>
      <c r="D151" s="106" t="s">
        <v>746</v>
      </c>
      <c r="E151" s="94" t="s">
        <v>48</v>
      </c>
    </row>
    <row r="152" spans="1:5" x14ac:dyDescent="0.25">
      <c r="A152" s="21" t="s">
        <v>258</v>
      </c>
      <c r="B152" s="87" t="s">
        <v>21</v>
      </c>
      <c r="C152" s="85" t="s">
        <v>16</v>
      </c>
      <c r="D152" s="106" t="s">
        <v>746</v>
      </c>
      <c r="E152" s="94" t="s">
        <v>48</v>
      </c>
    </row>
    <row r="153" spans="1:5" x14ac:dyDescent="0.25">
      <c r="A153" s="21" t="s">
        <v>263</v>
      </c>
      <c r="B153" s="87" t="s">
        <v>21</v>
      </c>
      <c r="C153" s="85" t="s">
        <v>16</v>
      </c>
      <c r="D153" s="42" t="s">
        <v>20</v>
      </c>
      <c r="E153" s="96" t="s">
        <v>66</v>
      </c>
    </row>
    <row r="154" spans="1:5" x14ac:dyDescent="0.25">
      <c r="A154" s="21" t="s">
        <v>262</v>
      </c>
      <c r="B154" s="90" t="s">
        <v>32</v>
      </c>
      <c r="C154" s="85" t="s">
        <v>16</v>
      </c>
      <c r="D154" s="42" t="s">
        <v>20</v>
      </c>
      <c r="E154" s="96" t="s">
        <v>66</v>
      </c>
    </row>
    <row r="155" spans="1:5" x14ac:dyDescent="0.25">
      <c r="A155" s="21" t="s">
        <v>266</v>
      </c>
      <c r="B155" s="87" t="s">
        <v>21</v>
      </c>
      <c r="C155" s="62" t="s">
        <v>62</v>
      </c>
      <c r="D155" s="42" t="s">
        <v>20</v>
      </c>
      <c r="E155" s="88" t="s">
        <v>25</v>
      </c>
    </row>
    <row r="156" spans="1:5" x14ac:dyDescent="0.25">
      <c r="A156" s="21" t="s">
        <v>265</v>
      </c>
      <c r="B156" s="84" t="s">
        <v>15</v>
      </c>
      <c r="C156" s="62" t="s">
        <v>62</v>
      </c>
      <c r="D156" s="89" t="s">
        <v>24</v>
      </c>
      <c r="E156" s="88" t="s">
        <v>25</v>
      </c>
    </row>
    <row r="157" spans="1:5" x14ac:dyDescent="0.25">
      <c r="A157" s="21" t="s">
        <v>269</v>
      </c>
      <c r="B157" s="84" t="s">
        <v>15</v>
      </c>
      <c r="C157" s="85" t="s">
        <v>16</v>
      </c>
      <c r="D157" s="89" t="s">
        <v>742</v>
      </c>
      <c r="E157" s="86" t="s">
        <v>18</v>
      </c>
    </row>
    <row r="158" spans="1:5" x14ac:dyDescent="0.25">
      <c r="A158" s="21" t="s">
        <v>268</v>
      </c>
      <c r="B158" s="87" t="s">
        <v>21</v>
      </c>
      <c r="C158" s="85" t="s">
        <v>16</v>
      </c>
      <c r="D158" s="42" t="s">
        <v>20</v>
      </c>
      <c r="E158" s="86" t="s">
        <v>18</v>
      </c>
    </row>
    <row r="159" spans="1:5" x14ac:dyDescent="0.25">
      <c r="A159" s="21" t="s">
        <v>272</v>
      </c>
      <c r="B159" s="107" t="s">
        <v>21</v>
      </c>
      <c r="C159" s="108" t="s">
        <v>62</v>
      </c>
      <c r="D159" s="92" t="s">
        <v>24</v>
      </c>
      <c r="E159" s="93" t="s">
        <v>44</v>
      </c>
    </row>
    <row r="160" spans="1:5" x14ac:dyDescent="0.25">
      <c r="A160" s="21" t="s">
        <v>271</v>
      </c>
      <c r="B160" s="109" t="s">
        <v>32</v>
      </c>
      <c r="C160" s="108" t="s">
        <v>62</v>
      </c>
      <c r="D160" s="42" t="s">
        <v>20</v>
      </c>
      <c r="E160" s="93" t="s">
        <v>44</v>
      </c>
    </row>
    <row r="161" spans="1:5" x14ac:dyDescent="0.25">
      <c r="A161" s="21" t="s">
        <v>275</v>
      </c>
      <c r="B161" s="90" t="s">
        <v>32</v>
      </c>
      <c r="C161" s="91" t="s">
        <v>29</v>
      </c>
      <c r="D161" s="42" t="s">
        <v>20</v>
      </c>
      <c r="E161" s="95" t="s">
        <v>52</v>
      </c>
    </row>
    <row r="162" spans="1:5" x14ac:dyDescent="0.25">
      <c r="A162" s="21" t="s">
        <v>274</v>
      </c>
      <c r="B162" s="87" t="s">
        <v>21</v>
      </c>
      <c r="C162" s="91" t="s">
        <v>29</v>
      </c>
      <c r="D162" s="42" t="s">
        <v>20</v>
      </c>
      <c r="E162" s="95" t="s">
        <v>52</v>
      </c>
    </row>
    <row r="163" spans="1:5" x14ac:dyDescent="0.25">
      <c r="A163" s="21" t="s">
        <v>278</v>
      </c>
      <c r="B163" s="87" t="s">
        <v>21</v>
      </c>
      <c r="C163" s="85" t="s">
        <v>16</v>
      </c>
      <c r="D163" s="42" t="s">
        <v>20</v>
      </c>
      <c r="E163" s="86" t="s">
        <v>18</v>
      </c>
    </row>
    <row r="164" spans="1:5" x14ac:dyDescent="0.25">
      <c r="A164" s="21" t="s">
        <v>277</v>
      </c>
      <c r="B164" s="90" t="s">
        <v>32</v>
      </c>
      <c r="C164" s="85" t="s">
        <v>16</v>
      </c>
      <c r="D164" s="42" t="s">
        <v>20</v>
      </c>
      <c r="E164" s="86" t="s">
        <v>18</v>
      </c>
    </row>
    <row r="165" spans="1:5" x14ac:dyDescent="0.25">
      <c r="A165" s="21" t="s">
        <v>281</v>
      </c>
      <c r="B165" s="87" t="s">
        <v>21</v>
      </c>
      <c r="C165" s="91" t="s">
        <v>29</v>
      </c>
      <c r="D165" s="42" t="s">
        <v>20</v>
      </c>
      <c r="E165" s="94" t="s">
        <v>48</v>
      </c>
    </row>
    <row r="166" spans="1:5" x14ac:dyDescent="0.25">
      <c r="A166" s="21" t="s">
        <v>280</v>
      </c>
      <c r="B166" s="90" t="s">
        <v>32</v>
      </c>
      <c r="C166" s="91" t="s">
        <v>29</v>
      </c>
      <c r="D166" s="42" t="s">
        <v>20</v>
      </c>
      <c r="E166" s="94" t="s">
        <v>48</v>
      </c>
    </row>
    <row r="167" spans="1:5" x14ac:dyDescent="0.25">
      <c r="A167" s="21" t="s">
        <v>284</v>
      </c>
      <c r="B167" s="87" t="s">
        <v>21</v>
      </c>
      <c r="C167" s="62" t="s">
        <v>62</v>
      </c>
      <c r="D167" s="89" t="s">
        <v>742</v>
      </c>
      <c r="E167" s="95" t="s">
        <v>52</v>
      </c>
    </row>
    <row r="168" spans="1:5" x14ac:dyDescent="0.25">
      <c r="A168" s="21" t="s">
        <v>283</v>
      </c>
      <c r="B168" s="90" t="s">
        <v>32</v>
      </c>
      <c r="C168" s="62" t="s">
        <v>62</v>
      </c>
      <c r="D168" s="42" t="s">
        <v>20</v>
      </c>
      <c r="E168" s="95" t="s">
        <v>52</v>
      </c>
    </row>
    <row r="169" spans="1:5" x14ac:dyDescent="0.25">
      <c r="A169" s="21" t="s">
        <v>286</v>
      </c>
      <c r="B169" s="90" t="s">
        <v>32</v>
      </c>
      <c r="C169" s="85" t="s">
        <v>16</v>
      </c>
      <c r="D169" s="42" t="s">
        <v>20</v>
      </c>
      <c r="E169" s="95" t="s">
        <v>52</v>
      </c>
    </row>
    <row r="170" spans="1:5" x14ac:dyDescent="0.25">
      <c r="A170" s="21" t="s">
        <v>289</v>
      </c>
      <c r="B170" s="90" t="s">
        <v>32</v>
      </c>
      <c r="C170" s="91" t="s">
        <v>29</v>
      </c>
      <c r="D170" s="42" t="s">
        <v>20</v>
      </c>
      <c r="E170" s="93" t="s">
        <v>44</v>
      </c>
    </row>
    <row r="171" spans="1:5" x14ac:dyDescent="0.25">
      <c r="A171" s="21" t="s">
        <v>288</v>
      </c>
      <c r="B171" s="84" t="s">
        <v>15</v>
      </c>
      <c r="C171" s="91" t="s">
        <v>29</v>
      </c>
      <c r="D171" s="42" t="s">
        <v>20</v>
      </c>
      <c r="E171" s="93" t="s">
        <v>44</v>
      </c>
    </row>
    <row r="172" spans="1:5" x14ac:dyDescent="0.25">
      <c r="A172" s="21" t="s">
        <v>292</v>
      </c>
      <c r="B172" s="90" t="s">
        <v>32</v>
      </c>
      <c r="C172" s="85" t="s">
        <v>16</v>
      </c>
      <c r="D172" s="42" t="s">
        <v>20</v>
      </c>
      <c r="E172" s="94" t="s">
        <v>48</v>
      </c>
    </row>
    <row r="173" spans="1:5" x14ac:dyDescent="0.25">
      <c r="A173" s="21" t="s">
        <v>291</v>
      </c>
      <c r="B173" s="84" t="s">
        <v>15</v>
      </c>
      <c r="C173" s="85" t="s">
        <v>16</v>
      </c>
      <c r="D173" s="42" t="s">
        <v>20</v>
      </c>
      <c r="E173" s="94" t="s">
        <v>48</v>
      </c>
    </row>
    <row r="174" spans="1:5" x14ac:dyDescent="0.25">
      <c r="A174" s="21" t="s">
        <v>294</v>
      </c>
      <c r="B174" s="87" t="s">
        <v>21</v>
      </c>
      <c r="C174" s="62" t="s">
        <v>62</v>
      </c>
      <c r="D174" s="42" t="s">
        <v>20</v>
      </c>
      <c r="E174" s="88" t="s">
        <v>25</v>
      </c>
    </row>
    <row r="175" spans="1:5" x14ac:dyDescent="0.25">
      <c r="A175" s="21" t="s">
        <v>298</v>
      </c>
      <c r="B175" s="87" t="s">
        <v>21</v>
      </c>
      <c r="C175" s="91" t="s">
        <v>29</v>
      </c>
      <c r="D175" s="42" t="s">
        <v>20</v>
      </c>
      <c r="E175" s="95" t="s">
        <v>52</v>
      </c>
    </row>
    <row r="176" spans="1:5" x14ac:dyDescent="0.25">
      <c r="A176" s="21" t="s">
        <v>296</v>
      </c>
      <c r="B176" s="90" t="s">
        <v>32</v>
      </c>
      <c r="C176" s="91" t="s">
        <v>29</v>
      </c>
      <c r="D176" s="110" t="s">
        <v>20</v>
      </c>
      <c r="E176" s="95" t="s">
        <v>297</v>
      </c>
    </row>
    <row r="177" spans="1:5" x14ac:dyDescent="0.25">
      <c r="A177" s="21" t="s">
        <v>301</v>
      </c>
      <c r="B177" s="87" t="s">
        <v>21</v>
      </c>
      <c r="C177" s="91" t="s">
        <v>29</v>
      </c>
      <c r="D177" s="89" t="s">
        <v>742</v>
      </c>
      <c r="E177" s="86" t="s">
        <v>18</v>
      </c>
    </row>
    <row r="178" spans="1:5" x14ac:dyDescent="0.25">
      <c r="A178" s="21" t="s">
        <v>300</v>
      </c>
      <c r="B178" s="84" t="s">
        <v>15</v>
      </c>
      <c r="C178" s="91" t="s">
        <v>29</v>
      </c>
      <c r="D178" s="89" t="s">
        <v>24</v>
      </c>
      <c r="E178" s="88" t="s">
        <v>25</v>
      </c>
    </row>
    <row r="179" spans="1:5" x14ac:dyDescent="0.25">
      <c r="A179" s="21" t="s">
        <v>304</v>
      </c>
      <c r="B179" s="90" t="s">
        <v>32</v>
      </c>
      <c r="C179" s="85" t="s">
        <v>16</v>
      </c>
      <c r="D179" s="42" t="s">
        <v>20</v>
      </c>
      <c r="E179" s="94" t="s">
        <v>48</v>
      </c>
    </row>
    <row r="180" spans="1:5" x14ac:dyDescent="0.25">
      <c r="A180" s="21" t="s">
        <v>303</v>
      </c>
      <c r="B180" s="111" t="s">
        <v>15</v>
      </c>
      <c r="C180" s="112" t="s">
        <v>16</v>
      </c>
      <c r="D180" s="42" t="s">
        <v>20</v>
      </c>
      <c r="E180" s="94" t="s">
        <v>48</v>
      </c>
    </row>
    <row r="181" spans="1:5" x14ac:dyDescent="0.25">
      <c r="A181" s="21" t="s">
        <v>306</v>
      </c>
      <c r="B181" s="107" t="s">
        <v>21</v>
      </c>
      <c r="C181" s="112" t="s">
        <v>16</v>
      </c>
      <c r="D181" s="92" t="s">
        <v>24</v>
      </c>
      <c r="E181" s="94" t="s">
        <v>48</v>
      </c>
    </row>
    <row r="182" spans="1:5" x14ac:dyDescent="0.25">
      <c r="A182" s="21" t="s">
        <v>308</v>
      </c>
      <c r="B182" s="84" t="s">
        <v>15</v>
      </c>
      <c r="C182" s="85" t="s">
        <v>16</v>
      </c>
      <c r="D182" s="40" t="s">
        <v>740</v>
      </c>
      <c r="E182" s="95" t="s">
        <v>52</v>
      </c>
    </row>
    <row r="183" spans="1:5" x14ac:dyDescent="0.25">
      <c r="A183" s="21" t="s">
        <v>311</v>
      </c>
      <c r="B183" s="84" t="s">
        <v>15</v>
      </c>
      <c r="C183" s="62" t="s">
        <v>62</v>
      </c>
      <c r="D183" s="89" t="s">
        <v>742</v>
      </c>
      <c r="E183" s="86" t="s">
        <v>18</v>
      </c>
    </row>
    <row r="184" spans="1:5" x14ac:dyDescent="0.25">
      <c r="A184" s="21" t="s">
        <v>310</v>
      </c>
      <c r="B184" s="87" t="s">
        <v>21</v>
      </c>
      <c r="C184" s="62" t="s">
        <v>62</v>
      </c>
      <c r="D184" s="42" t="s">
        <v>20</v>
      </c>
      <c r="E184" s="86" t="s">
        <v>18</v>
      </c>
    </row>
    <row r="185" spans="1:5" x14ac:dyDescent="0.25">
      <c r="A185" s="21" t="s">
        <v>314</v>
      </c>
      <c r="B185" s="87" t="s">
        <v>21</v>
      </c>
      <c r="C185" s="85" t="s">
        <v>16</v>
      </c>
      <c r="D185" s="106" t="s">
        <v>746</v>
      </c>
      <c r="E185" s="88" t="s">
        <v>25</v>
      </c>
    </row>
    <row r="186" spans="1:5" x14ac:dyDescent="0.25">
      <c r="A186" s="21" t="s">
        <v>313</v>
      </c>
      <c r="B186" s="84" t="s">
        <v>15</v>
      </c>
      <c r="C186" s="85" t="s">
        <v>16</v>
      </c>
      <c r="D186" s="106" t="s">
        <v>746</v>
      </c>
      <c r="E186" s="88" t="s">
        <v>25</v>
      </c>
    </row>
    <row r="187" spans="1:5" x14ac:dyDescent="0.25">
      <c r="A187" s="21" t="s">
        <v>316</v>
      </c>
      <c r="B187" s="84" t="s">
        <v>15</v>
      </c>
      <c r="C187" s="85" t="s">
        <v>16</v>
      </c>
      <c r="D187" s="106" t="s">
        <v>746</v>
      </c>
      <c r="E187" s="86" t="s">
        <v>18</v>
      </c>
    </row>
    <row r="188" spans="1:5" x14ac:dyDescent="0.25">
      <c r="A188" s="21" t="s">
        <v>319</v>
      </c>
      <c r="B188" s="90" t="s">
        <v>32</v>
      </c>
      <c r="C188" s="91" t="s">
        <v>29</v>
      </c>
      <c r="D188" s="106" t="s">
        <v>746</v>
      </c>
      <c r="E188" s="93" t="s">
        <v>44</v>
      </c>
    </row>
    <row r="189" spans="1:5" x14ac:dyDescent="0.25">
      <c r="A189" s="21" t="s">
        <v>318</v>
      </c>
      <c r="B189" s="84" t="s">
        <v>15</v>
      </c>
      <c r="C189" s="91" t="s">
        <v>29</v>
      </c>
      <c r="D189" s="113" t="s">
        <v>746</v>
      </c>
      <c r="E189" s="93" t="s">
        <v>44</v>
      </c>
    </row>
    <row r="190" spans="1:5" x14ac:dyDescent="0.25">
      <c r="A190" s="21" t="s">
        <v>321</v>
      </c>
      <c r="B190" s="84" t="s">
        <v>15</v>
      </c>
      <c r="C190" s="91" t="s">
        <v>29</v>
      </c>
      <c r="D190" s="42" t="s">
        <v>20</v>
      </c>
      <c r="E190" s="96" t="s">
        <v>66</v>
      </c>
    </row>
    <row r="191" spans="1:5" x14ac:dyDescent="0.25">
      <c r="A191" s="21" t="s">
        <v>324</v>
      </c>
      <c r="B191" s="84" t="s">
        <v>15</v>
      </c>
      <c r="C191" s="91" t="s">
        <v>29</v>
      </c>
      <c r="D191" s="42" t="s">
        <v>20</v>
      </c>
      <c r="E191" s="94" t="s">
        <v>48</v>
      </c>
    </row>
    <row r="192" spans="1:5" x14ac:dyDescent="0.25">
      <c r="A192" s="21" t="s">
        <v>323</v>
      </c>
      <c r="B192" s="87" t="s">
        <v>21</v>
      </c>
      <c r="C192" s="91" t="s">
        <v>29</v>
      </c>
      <c r="D192" s="92" t="s">
        <v>24</v>
      </c>
      <c r="E192" s="94" t="s">
        <v>48</v>
      </c>
    </row>
    <row r="193" spans="1:5" x14ac:dyDescent="0.25">
      <c r="A193" s="21" t="s">
        <v>326</v>
      </c>
      <c r="B193" s="90" t="s">
        <v>32</v>
      </c>
      <c r="C193" s="91" t="s">
        <v>29</v>
      </c>
      <c r="D193" s="42" t="s">
        <v>20</v>
      </c>
      <c r="E193" s="88" t="s">
        <v>25</v>
      </c>
    </row>
    <row r="194" spans="1:5" x14ac:dyDescent="0.25">
      <c r="A194" s="21" t="s">
        <v>328</v>
      </c>
      <c r="B194" s="84" t="s">
        <v>15</v>
      </c>
      <c r="C194" s="85" t="s">
        <v>16</v>
      </c>
      <c r="D194" s="42" t="s">
        <v>20</v>
      </c>
      <c r="E194" s="93" t="s">
        <v>44</v>
      </c>
    </row>
    <row r="195" spans="1:5" x14ac:dyDescent="0.25">
      <c r="A195" s="21" t="s">
        <v>330</v>
      </c>
      <c r="B195" s="87" t="s">
        <v>21</v>
      </c>
      <c r="C195" s="85" t="s">
        <v>16</v>
      </c>
      <c r="D195" s="89" t="s">
        <v>742</v>
      </c>
      <c r="E195" s="96" t="s">
        <v>66</v>
      </c>
    </row>
    <row r="196" spans="1:5" x14ac:dyDescent="0.25">
      <c r="A196" s="21" t="s">
        <v>333</v>
      </c>
      <c r="B196" s="87" t="s">
        <v>21</v>
      </c>
      <c r="C196" s="85" t="s">
        <v>16</v>
      </c>
      <c r="D196" s="42" t="s">
        <v>20</v>
      </c>
      <c r="E196" s="93" t="s">
        <v>44</v>
      </c>
    </row>
    <row r="197" spans="1:5" x14ac:dyDescent="0.25">
      <c r="A197" s="21" t="s">
        <v>332</v>
      </c>
      <c r="B197" s="111" t="s">
        <v>15</v>
      </c>
      <c r="C197" s="112" t="s">
        <v>16</v>
      </c>
      <c r="D197" s="42" t="s">
        <v>20</v>
      </c>
      <c r="E197" s="93" t="s">
        <v>44</v>
      </c>
    </row>
    <row r="198" spans="1:5" x14ac:dyDescent="0.25">
      <c r="A198" s="21" t="s">
        <v>335</v>
      </c>
      <c r="B198" s="107" t="s">
        <v>21</v>
      </c>
      <c r="C198" s="112" t="s">
        <v>16</v>
      </c>
      <c r="D198" s="114" t="s">
        <v>740</v>
      </c>
      <c r="E198" s="96" t="s">
        <v>66</v>
      </c>
    </row>
    <row r="199" spans="1:5" x14ac:dyDescent="0.25">
      <c r="A199" s="21" t="s">
        <v>338</v>
      </c>
      <c r="B199" s="87" t="s">
        <v>21</v>
      </c>
      <c r="C199" s="91" t="s">
        <v>29</v>
      </c>
      <c r="D199" s="89" t="s">
        <v>742</v>
      </c>
      <c r="E199" s="96" t="s">
        <v>66</v>
      </c>
    </row>
    <row r="200" spans="1:5" x14ac:dyDescent="0.25">
      <c r="A200" s="21" t="s">
        <v>337</v>
      </c>
      <c r="B200" s="84" t="s">
        <v>15</v>
      </c>
      <c r="C200" s="91" t="s">
        <v>29</v>
      </c>
      <c r="D200" s="42" t="s">
        <v>20</v>
      </c>
      <c r="E200" s="96" t="s">
        <v>66</v>
      </c>
    </row>
    <row r="201" spans="1:5" x14ac:dyDescent="0.25">
      <c r="A201" s="21" t="s">
        <v>340</v>
      </c>
      <c r="B201" s="87" t="s">
        <v>21</v>
      </c>
      <c r="C201" s="62" t="s">
        <v>62</v>
      </c>
      <c r="D201" s="89" t="s">
        <v>24</v>
      </c>
      <c r="E201" s="96" t="s">
        <v>66</v>
      </c>
    </row>
    <row r="202" spans="1:5" x14ac:dyDescent="0.25">
      <c r="A202" s="21" t="s">
        <v>342</v>
      </c>
      <c r="B202" s="90" t="s">
        <v>32</v>
      </c>
      <c r="C202" s="91" t="s">
        <v>29</v>
      </c>
      <c r="D202" s="89" t="s">
        <v>24</v>
      </c>
      <c r="E202" s="94" t="s">
        <v>48</v>
      </c>
    </row>
    <row r="203" spans="1:5" x14ac:dyDescent="0.25">
      <c r="A203" s="21" t="s">
        <v>345</v>
      </c>
      <c r="B203" s="84" t="s">
        <v>15</v>
      </c>
      <c r="C203" s="85" t="s">
        <v>16</v>
      </c>
      <c r="D203" s="42" t="s">
        <v>20</v>
      </c>
      <c r="E203" s="86" t="s">
        <v>18</v>
      </c>
    </row>
    <row r="204" spans="1:5" x14ac:dyDescent="0.25">
      <c r="A204" s="21" t="s">
        <v>344</v>
      </c>
      <c r="B204" s="87" t="s">
        <v>21</v>
      </c>
      <c r="C204" s="85" t="s">
        <v>16</v>
      </c>
      <c r="D204" s="89" t="s">
        <v>742</v>
      </c>
      <c r="E204" s="86" t="s">
        <v>18</v>
      </c>
    </row>
    <row r="205" spans="1:5" x14ac:dyDescent="0.25">
      <c r="A205" s="21" t="s">
        <v>347</v>
      </c>
      <c r="B205" s="90" t="s">
        <v>32</v>
      </c>
      <c r="C205" s="85" t="s">
        <v>16</v>
      </c>
      <c r="D205" s="89" t="s">
        <v>24</v>
      </c>
      <c r="E205" s="86" t="s">
        <v>18</v>
      </c>
    </row>
    <row r="206" spans="1:5" x14ac:dyDescent="0.25">
      <c r="A206" s="21" t="s">
        <v>350</v>
      </c>
      <c r="B206" s="84" t="s">
        <v>15</v>
      </c>
      <c r="C206" s="91" t="s">
        <v>29</v>
      </c>
      <c r="D206" s="89" t="s">
        <v>742</v>
      </c>
      <c r="E206" s="95" t="s">
        <v>52</v>
      </c>
    </row>
    <row r="207" spans="1:5" x14ac:dyDescent="0.25">
      <c r="A207" s="21" t="s">
        <v>349</v>
      </c>
      <c r="B207" s="90" t="s">
        <v>32</v>
      </c>
      <c r="C207" s="91" t="s">
        <v>29</v>
      </c>
      <c r="D207" s="42" t="s">
        <v>20</v>
      </c>
      <c r="E207" s="95" t="s">
        <v>52</v>
      </c>
    </row>
    <row r="208" spans="1:5" x14ac:dyDescent="0.25">
      <c r="A208" s="21" t="s">
        <v>352</v>
      </c>
      <c r="B208" s="84" t="s">
        <v>15</v>
      </c>
      <c r="C208" s="62" t="s">
        <v>62</v>
      </c>
      <c r="D208" s="42" t="s">
        <v>20</v>
      </c>
      <c r="E208" s="93" t="s">
        <v>44</v>
      </c>
    </row>
    <row r="209" spans="1:5" x14ac:dyDescent="0.25">
      <c r="A209" s="21" t="s">
        <v>354</v>
      </c>
      <c r="B209" s="90" t="s">
        <v>32</v>
      </c>
      <c r="C209" s="85" t="s">
        <v>16</v>
      </c>
      <c r="D209" s="89" t="s">
        <v>742</v>
      </c>
      <c r="E209" s="94" t="s">
        <v>48</v>
      </c>
    </row>
    <row r="210" spans="1:5" x14ac:dyDescent="0.25">
      <c r="A210" s="21" t="s">
        <v>357</v>
      </c>
      <c r="B210" s="87" t="s">
        <v>21</v>
      </c>
      <c r="C210" s="91" t="s">
        <v>29</v>
      </c>
      <c r="D210" s="42" t="s">
        <v>20</v>
      </c>
      <c r="E210" s="88" t="s">
        <v>25</v>
      </c>
    </row>
    <row r="211" spans="1:5" x14ac:dyDescent="0.25">
      <c r="A211" s="21" t="s">
        <v>356</v>
      </c>
      <c r="B211" s="90" t="s">
        <v>32</v>
      </c>
      <c r="C211" s="91" t="s">
        <v>29</v>
      </c>
      <c r="D211" s="42" t="s">
        <v>20</v>
      </c>
      <c r="E211" s="88" t="s">
        <v>25</v>
      </c>
    </row>
    <row r="212" spans="1:5" x14ac:dyDescent="0.25">
      <c r="A212" s="21" t="s">
        <v>359</v>
      </c>
      <c r="B212" s="84" t="s">
        <v>15</v>
      </c>
      <c r="C212" s="91" t="s">
        <v>29</v>
      </c>
      <c r="D212" s="89" t="s">
        <v>24</v>
      </c>
      <c r="E212" s="88" t="s">
        <v>25</v>
      </c>
    </row>
    <row r="213" spans="1:5" x14ac:dyDescent="0.25">
      <c r="A213" s="21" t="s">
        <v>361</v>
      </c>
      <c r="B213" s="84" t="s">
        <v>15</v>
      </c>
      <c r="C213" s="85" t="s">
        <v>16</v>
      </c>
      <c r="D213" s="40" t="s">
        <v>740</v>
      </c>
      <c r="E213" s="96" t="s">
        <v>66</v>
      </c>
    </row>
    <row r="214" spans="1:5" x14ac:dyDescent="0.25">
      <c r="A214" s="21" t="s">
        <v>363</v>
      </c>
      <c r="B214" s="84" t="s">
        <v>15</v>
      </c>
      <c r="C214" s="91" t="s">
        <v>29</v>
      </c>
      <c r="D214" s="106" t="s">
        <v>746</v>
      </c>
      <c r="E214" s="93" t="s">
        <v>44</v>
      </c>
    </row>
    <row r="215" spans="1:5" x14ac:dyDescent="0.25">
      <c r="A215" s="21" t="s">
        <v>365</v>
      </c>
      <c r="B215" s="84" t="s">
        <v>15</v>
      </c>
      <c r="C215" s="91" t="s">
        <v>29</v>
      </c>
      <c r="D215" s="106" t="s">
        <v>746</v>
      </c>
      <c r="E215" s="96" t="s">
        <v>66</v>
      </c>
    </row>
    <row r="216" spans="1:5" x14ac:dyDescent="0.25">
      <c r="A216" s="21" t="s">
        <v>367</v>
      </c>
      <c r="B216" s="87" t="s">
        <v>21</v>
      </c>
      <c r="C216" s="91" t="s">
        <v>29</v>
      </c>
      <c r="D216" s="42" t="s">
        <v>20</v>
      </c>
      <c r="E216" s="96" t="s">
        <v>66</v>
      </c>
    </row>
    <row r="217" spans="1:5" x14ac:dyDescent="0.25">
      <c r="A217" s="21" t="s">
        <v>369</v>
      </c>
      <c r="B217" s="84" t="s">
        <v>15</v>
      </c>
      <c r="C217" s="85" t="s">
        <v>16</v>
      </c>
      <c r="D217" s="106" t="s">
        <v>746</v>
      </c>
      <c r="E217" s="93" t="s">
        <v>44</v>
      </c>
    </row>
    <row r="218" spans="1:5" x14ac:dyDescent="0.25">
      <c r="A218" s="21" t="s">
        <v>371</v>
      </c>
      <c r="B218" s="90" t="s">
        <v>32</v>
      </c>
      <c r="C218" s="85" t="s">
        <v>16</v>
      </c>
      <c r="D218" s="40" t="s">
        <v>740</v>
      </c>
      <c r="E218" s="88" t="s">
        <v>25</v>
      </c>
    </row>
    <row r="219" spans="1:5" x14ac:dyDescent="0.25">
      <c r="A219" s="21" t="s">
        <v>373</v>
      </c>
      <c r="B219" s="84" t="s">
        <v>15</v>
      </c>
      <c r="C219" s="62" t="s">
        <v>62</v>
      </c>
      <c r="D219" s="89" t="s">
        <v>742</v>
      </c>
      <c r="E219" s="95" t="s">
        <v>52</v>
      </c>
    </row>
    <row r="220" spans="1:5" x14ac:dyDescent="0.25">
      <c r="A220" s="21" t="s">
        <v>376</v>
      </c>
      <c r="B220" s="87" t="s">
        <v>21</v>
      </c>
      <c r="C220" s="91" t="s">
        <v>29</v>
      </c>
      <c r="D220" s="89" t="s">
        <v>742</v>
      </c>
      <c r="E220" s="95" t="s">
        <v>52</v>
      </c>
    </row>
    <row r="221" spans="1:5" x14ac:dyDescent="0.25">
      <c r="A221" s="21" t="s">
        <v>375</v>
      </c>
      <c r="B221" s="90" t="s">
        <v>32</v>
      </c>
      <c r="C221" s="91" t="s">
        <v>29</v>
      </c>
      <c r="D221" s="42" t="s">
        <v>20</v>
      </c>
      <c r="E221" s="95" t="s">
        <v>52</v>
      </c>
    </row>
    <row r="222" spans="1:5" x14ac:dyDescent="0.25">
      <c r="A222" s="21" t="s">
        <v>379</v>
      </c>
      <c r="B222" s="90" t="s">
        <v>32</v>
      </c>
      <c r="C222" s="91" t="s">
        <v>29</v>
      </c>
      <c r="D222" s="89" t="s">
        <v>742</v>
      </c>
      <c r="E222" s="86" t="s">
        <v>18</v>
      </c>
    </row>
    <row r="223" spans="1:5" x14ac:dyDescent="0.25">
      <c r="A223" s="21" t="s">
        <v>378</v>
      </c>
      <c r="B223" s="84" t="s">
        <v>15</v>
      </c>
      <c r="C223" s="91" t="s">
        <v>29</v>
      </c>
      <c r="D223" s="42" t="s">
        <v>20</v>
      </c>
      <c r="E223" s="86" t="s">
        <v>18</v>
      </c>
    </row>
    <row r="224" spans="1:5" x14ac:dyDescent="0.25">
      <c r="A224" s="21" t="s">
        <v>382</v>
      </c>
      <c r="B224" s="84" t="s">
        <v>15</v>
      </c>
      <c r="C224" s="85" t="s">
        <v>16</v>
      </c>
      <c r="D224" s="89" t="s">
        <v>742</v>
      </c>
      <c r="E224" s="94" t="s">
        <v>48</v>
      </c>
    </row>
    <row r="225" spans="1:5" x14ac:dyDescent="0.25">
      <c r="A225" s="21" t="s">
        <v>381</v>
      </c>
      <c r="B225" s="90" t="s">
        <v>32</v>
      </c>
      <c r="C225" s="85" t="s">
        <v>16</v>
      </c>
      <c r="D225" s="42" t="s">
        <v>20</v>
      </c>
      <c r="E225" s="94" t="s">
        <v>48</v>
      </c>
    </row>
    <row r="226" spans="1:5" x14ac:dyDescent="0.25">
      <c r="A226" s="21" t="s">
        <v>385</v>
      </c>
      <c r="B226" s="84" t="s">
        <v>15</v>
      </c>
      <c r="C226" s="62" t="s">
        <v>62</v>
      </c>
      <c r="D226" s="42" t="s">
        <v>20</v>
      </c>
      <c r="E226" s="93" t="s">
        <v>44</v>
      </c>
    </row>
    <row r="227" spans="1:5" x14ac:dyDescent="0.25">
      <c r="A227" s="21" t="s">
        <v>384</v>
      </c>
      <c r="B227" s="87" t="s">
        <v>21</v>
      </c>
      <c r="C227" s="62" t="s">
        <v>62</v>
      </c>
      <c r="D227" s="42" t="s">
        <v>20</v>
      </c>
      <c r="E227" s="93" t="s">
        <v>44</v>
      </c>
    </row>
    <row r="228" spans="1:5" x14ac:dyDescent="0.25">
      <c r="A228" s="21" t="s">
        <v>388</v>
      </c>
      <c r="B228" s="84" t="s">
        <v>15</v>
      </c>
      <c r="C228" s="85" t="s">
        <v>16</v>
      </c>
      <c r="D228" s="42" t="s">
        <v>20</v>
      </c>
      <c r="E228" s="93" t="s">
        <v>44</v>
      </c>
    </row>
    <row r="229" spans="1:5" x14ac:dyDescent="0.25">
      <c r="A229" s="21" t="s">
        <v>387</v>
      </c>
      <c r="B229" s="87" t="s">
        <v>21</v>
      </c>
      <c r="C229" s="85" t="s">
        <v>16</v>
      </c>
      <c r="D229" s="42" t="s">
        <v>20</v>
      </c>
      <c r="E229" s="93" t="s">
        <v>44</v>
      </c>
    </row>
    <row r="230" spans="1:5" x14ac:dyDescent="0.25">
      <c r="A230" s="21" t="s">
        <v>390</v>
      </c>
      <c r="B230" s="87" t="s">
        <v>21</v>
      </c>
      <c r="C230" s="85" t="s">
        <v>16</v>
      </c>
      <c r="D230" s="42" t="s">
        <v>20</v>
      </c>
      <c r="E230" s="95" t="s">
        <v>52</v>
      </c>
    </row>
    <row r="231" spans="1:5" x14ac:dyDescent="0.25">
      <c r="A231" s="21" t="s">
        <v>392</v>
      </c>
      <c r="B231" s="90" t="s">
        <v>32</v>
      </c>
      <c r="C231" s="91" t="s">
        <v>29</v>
      </c>
      <c r="D231" s="42" t="s">
        <v>20</v>
      </c>
      <c r="E231" s="96" t="s">
        <v>66</v>
      </c>
    </row>
    <row r="232" spans="1:5" x14ac:dyDescent="0.25">
      <c r="A232" s="21" t="s">
        <v>395</v>
      </c>
      <c r="B232" s="90" t="s">
        <v>32</v>
      </c>
      <c r="C232" s="91" t="s">
        <v>29</v>
      </c>
      <c r="D232" s="106" t="s">
        <v>746</v>
      </c>
      <c r="E232" s="86" t="s">
        <v>18</v>
      </c>
    </row>
    <row r="233" spans="1:5" x14ac:dyDescent="0.25">
      <c r="A233" s="21" t="s">
        <v>394</v>
      </c>
      <c r="B233" s="84" t="s">
        <v>15</v>
      </c>
      <c r="C233" s="91" t="s">
        <v>29</v>
      </c>
      <c r="D233" s="106" t="s">
        <v>746</v>
      </c>
      <c r="E233" s="88" t="s">
        <v>25</v>
      </c>
    </row>
    <row r="234" spans="1:5" x14ac:dyDescent="0.25">
      <c r="A234" s="21" t="s">
        <v>398</v>
      </c>
      <c r="B234" s="87" t="s">
        <v>21</v>
      </c>
      <c r="C234" s="62" t="s">
        <v>62</v>
      </c>
      <c r="D234" s="106" t="s">
        <v>746</v>
      </c>
      <c r="E234" s="88" t="s">
        <v>25</v>
      </c>
    </row>
    <row r="235" spans="1:5" x14ac:dyDescent="0.25">
      <c r="A235" s="21" t="s">
        <v>397</v>
      </c>
      <c r="B235" s="90" t="s">
        <v>32</v>
      </c>
      <c r="C235" s="62" t="s">
        <v>62</v>
      </c>
      <c r="D235" s="113" t="s">
        <v>746</v>
      </c>
      <c r="E235" s="88" t="s">
        <v>25</v>
      </c>
    </row>
    <row r="236" spans="1:5" x14ac:dyDescent="0.25">
      <c r="A236" s="21" t="s">
        <v>401</v>
      </c>
      <c r="B236" s="87" t="s">
        <v>21</v>
      </c>
      <c r="C236" s="62" t="s">
        <v>62</v>
      </c>
      <c r="D236" s="42" t="s">
        <v>20</v>
      </c>
      <c r="E236" s="94" t="s">
        <v>48</v>
      </c>
    </row>
    <row r="237" spans="1:5" x14ac:dyDescent="0.25">
      <c r="A237" s="21" t="s">
        <v>400</v>
      </c>
      <c r="B237" s="109" t="s">
        <v>32</v>
      </c>
      <c r="C237" s="108" t="s">
        <v>62</v>
      </c>
      <c r="D237" s="42" t="s">
        <v>20</v>
      </c>
      <c r="E237" s="94" t="s">
        <v>48</v>
      </c>
    </row>
    <row r="238" spans="1:5" x14ac:dyDescent="0.25">
      <c r="A238" s="21" t="s">
        <v>403</v>
      </c>
      <c r="B238" s="107" t="s">
        <v>21</v>
      </c>
      <c r="C238" s="108" t="s">
        <v>62</v>
      </c>
      <c r="D238" s="92" t="s">
        <v>24</v>
      </c>
      <c r="E238" s="95" t="s">
        <v>52</v>
      </c>
    </row>
    <row r="239" spans="1:5" x14ac:dyDescent="0.25">
      <c r="A239" s="21" t="s">
        <v>405</v>
      </c>
      <c r="B239" s="84" t="s">
        <v>15</v>
      </c>
      <c r="C239" s="85" t="s">
        <v>16</v>
      </c>
      <c r="D239" s="42" t="s">
        <v>20</v>
      </c>
      <c r="E239" s="93" t="s">
        <v>44</v>
      </c>
    </row>
    <row r="240" spans="1:5" x14ac:dyDescent="0.25">
      <c r="A240" s="21" t="s">
        <v>408</v>
      </c>
      <c r="B240" s="84" t="s">
        <v>15</v>
      </c>
      <c r="C240" s="62" t="s">
        <v>62</v>
      </c>
      <c r="D240" s="42" t="s">
        <v>20</v>
      </c>
      <c r="E240" s="86" t="s">
        <v>18</v>
      </c>
    </row>
    <row r="241" spans="1:5" x14ac:dyDescent="0.25">
      <c r="A241" s="21" t="s">
        <v>407</v>
      </c>
      <c r="B241" s="90" t="s">
        <v>32</v>
      </c>
      <c r="C241" s="62" t="s">
        <v>62</v>
      </c>
      <c r="D241" s="42" t="s">
        <v>20</v>
      </c>
      <c r="E241" s="86" t="s">
        <v>18</v>
      </c>
    </row>
    <row r="242" spans="1:5" x14ac:dyDescent="0.25">
      <c r="A242" s="21" t="s">
        <v>411</v>
      </c>
      <c r="B242" s="90" t="s">
        <v>32</v>
      </c>
      <c r="C242" s="62" t="s">
        <v>62</v>
      </c>
      <c r="D242" s="42" t="s">
        <v>20</v>
      </c>
      <c r="E242" s="96" t="s">
        <v>66</v>
      </c>
    </row>
    <row r="243" spans="1:5" x14ac:dyDescent="0.25">
      <c r="A243" s="21" t="s">
        <v>410</v>
      </c>
      <c r="B243" s="84" t="s">
        <v>15</v>
      </c>
      <c r="C243" s="62" t="s">
        <v>62</v>
      </c>
      <c r="D243" s="42" t="s">
        <v>20</v>
      </c>
      <c r="E243" s="96" t="s">
        <v>66</v>
      </c>
    </row>
    <row r="244" spans="1:5" x14ac:dyDescent="0.25">
      <c r="A244" s="21" t="s">
        <v>414</v>
      </c>
      <c r="B244" s="84" t="s">
        <v>15</v>
      </c>
      <c r="C244" s="85" t="s">
        <v>16</v>
      </c>
      <c r="D244" s="106" t="s">
        <v>746</v>
      </c>
      <c r="E244" s="93" t="s">
        <v>44</v>
      </c>
    </row>
    <row r="245" spans="1:5" x14ac:dyDescent="0.25">
      <c r="A245" s="21" t="s">
        <v>413</v>
      </c>
      <c r="B245" s="87" t="s">
        <v>21</v>
      </c>
      <c r="C245" s="85" t="s">
        <v>16</v>
      </c>
      <c r="D245" s="106" t="s">
        <v>746</v>
      </c>
      <c r="E245" s="93" t="s">
        <v>44</v>
      </c>
    </row>
    <row r="246" spans="1:5" x14ac:dyDescent="0.25">
      <c r="A246" s="21" t="s">
        <v>416</v>
      </c>
      <c r="B246" s="87" t="s">
        <v>21</v>
      </c>
      <c r="C246" s="91" t="s">
        <v>29</v>
      </c>
      <c r="D246" s="40" t="s">
        <v>740</v>
      </c>
      <c r="E246" s="94" t="s">
        <v>48</v>
      </c>
    </row>
    <row r="247" spans="1:5" x14ac:dyDescent="0.25">
      <c r="A247" s="21" t="s">
        <v>418</v>
      </c>
      <c r="B247" s="90" t="s">
        <v>32</v>
      </c>
      <c r="C247" s="85" t="s">
        <v>16</v>
      </c>
      <c r="D247" s="40" t="s">
        <v>740</v>
      </c>
      <c r="E247" s="94" t="s">
        <v>48</v>
      </c>
    </row>
    <row r="248" spans="1:5" x14ac:dyDescent="0.25">
      <c r="A248" s="21" t="s">
        <v>420</v>
      </c>
      <c r="B248" s="109" t="s">
        <v>32</v>
      </c>
      <c r="C248" s="115" t="s">
        <v>29</v>
      </c>
      <c r="D248" s="114" t="s">
        <v>740</v>
      </c>
      <c r="E248" s="94" t="s">
        <v>48</v>
      </c>
    </row>
    <row r="249" spans="1:5" x14ac:dyDescent="0.25">
      <c r="A249" s="21" t="s">
        <v>423</v>
      </c>
      <c r="B249" s="87" t="s">
        <v>21</v>
      </c>
      <c r="C249" s="85" t="s">
        <v>16</v>
      </c>
      <c r="D249" s="106" t="s">
        <v>746</v>
      </c>
      <c r="E249" s="93" t="s">
        <v>44</v>
      </c>
    </row>
    <row r="250" spans="1:5" x14ac:dyDescent="0.25">
      <c r="A250" s="21" t="s">
        <v>422</v>
      </c>
      <c r="B250" s="84" t="s">
        <v>15</v>
      </c>
      <c r="C250" s="85" t="s">
        <v>16</v>
      </c>
      <c r="D250" s="106" t="s">
        <v>746</v>
      </c>
      <c r="E250" s="93" t="s">
        <v>44</v>
      </c>
    </row>
    <row r="251" spans="1:5" x14ac:dyDescent="0.25">
      <c r="A251" s="21" t="s">
        <v>426</v>
      </c>
      <c r="B251" s="84" t="s">
        <v>15</v>
      </c>
      <c r="C251" s="85" t="s">
        <v>16</v>
      </c>
      <c r="D251" s="106" t="s">
        <v>746</v>
      </c>
      <c r="E251" s="86" t="s">
        <v>18</v>
      </c>
    </row>
    <row r="252" spans="1:5" x14ac:dyDescent="0.25">
      <c r="A252" s="21" t="s">
        <v>425</v>
      </c>
      <c r="B252" s="87" t="s">
        <v>21</v>
      </c>
      <c r="C252" s="85" t="s">
        <v>16</v>
      </c>
      <c r="D252" s="106" t="s">
        <v>746</v>
      </c>
      <c r="E252" s="86" t="s">
        <v>18</v>
      </c>
    </row>
    <row r="253" spans="1:5" x14ac:dyDescent="0.25">
      <c r="A253" s="21" t="s">
        <v>428</v>
      </c>
      <c r="B253" s="90" t="s">
        <v>32</v>
      </c>
      <c r="C253" s="62" t="s">
        <v>62</v>
      </c>
      <c r="D253" s="106" t="s">
        <v>746</v>
      </c>
      <c r="E253" s="94" t="s">
        <v>48</v>
      </c>
    </row>
    <row r="254" spans="1:5" x14ac:dyDescent="0.25">
      <c r="A254" s="21" t="s">
        <v>431</v>
      </c>
      <c r="B254" s="87" t="s">
        <v>21</v>
      </c>
      <c r="C254" s="85" t="s">
        <v>16</v>
      </c>
      <c r="D254" s="106" t="s">
        <v>746</v>
      </c>
      <c r="E254" s="96" t="s">
        <v>66</v>
      </c>
    </row>
    <row r="255" spans="1:5" x14ac:dyDescent="0.25">
      <c r="A255" s="30" t="s">
        <v>430</v>
      </c>
      <c r="B255" s="84" t="s">
        <v>15</v>
      </c>
      <c r="C255" s="85" t="s">
        <v>16</v>
      </c>
      <c r="D255" s="106" t="s">
        <v>746</v>
      </c>
      <c r="E255" s="96" t="s">
        <v>66</v>
      </c>
    </row>
    <row r="256" spans="1:5" x14ac:dyDescent="0.25">
      <c r="A256" s="44" t="s">
        <v>433</v>
      </c>
      <c r="B256" s="116" t="s">
        <v>32</v>
      </c>
      <c r="C256" s="72" t="s">
        <v>62</v>
      </c>
      <c r="D256" s="117" t="s">
        <v>746</v>
      </c>
      <c r="E256" s="118" t="s">
        <v>66</v>
      </c>
    </row>
    <row r="257" spans="1:5" x14ac:dyDescent="0.25">
      <c r="A257" s="37" t="s">
        <v>435</v>
      </c>
      <c r="B257" s="119" t="s">
        <v>15</v>
      </c>
      <c r="C257" s="120" t="s">
        <v>16</v>
      </c>
      <c r="D257" s="121" t="s">
        <v>745</v>
      </c>
      <c r="E257" s="122" t="s">
        <v>48</v>
      </c>
    </row>
    <row r="258" spans="1:5" x14ac:dyDescent="0.25">
      <c r="A258" s="123" t="s">
        <v>437</v>
      </c>
      <c r="B258" s="124" t="s">
        <v>21</v>
      </c>
      <c r="C258" s="125" t="s">
        <v>62</v>
      </c>
      <c r="D258" s="126" t="s">
        <v>745</v>
      </c>
      <c r="E258" s="127" t="s">
        <v>66</v>
      </c>
    </row>
    <row r="259" spans="1:5" x14ac:dyDescent="0.25">
      <c r="A259" s="21" t="s">
        <v>439</v>
      </c>
      <c r="B259" s="111" t="s">
        <v>15</v>
      </c>
      <c r="C259" s="115" t="s">
        <v>29</v>
      </c>
      <c r="D259" s="126" t="s">
        <v>745</v>
      </c>
      <c r="E259" s="88" t="s">
        <v>25</v>
      </c>
    </row>
    <row r="260" spans="1:5" x14ac:dyDescent="0.25">
      <c r="A260" s="21" t="s">
        <v>441</v>
      </c>
      <c r="B260" s="107" t="s">
        <v>21</v>
      </c>
      <c r="C260" s="115" t="s">
        <v>29</v>
      </c>
      <c r="D260" s="128" t="s">
        <v>745</v>
      </c>
      <c r="E260" s="118" t="s">
        <v>66</v>
      </c>
    </row>
    <row r="261" spans="1:5" x14ac:dyDescent="0.25">
      <c r="A261" s="21" t="s">
        <v>443</v>
      </c>
      <c r="B261" s="111" t="s">
        <v>15</v>
      </c>
      <c r="C261" s="115" t="s">
        <v>29</v>
      </c>
      <c r="D261" s="128" t="s">
        <v>745</v>
      </c>
      <c r="E261" s="129" t="s">
        <v>44</v>
      </c>
    </row>
    <row r="262" spans="1:5" x14ac:dyDescent="0.25">
      <c r="A262" s="21" t="s">
        <v>445</v>
      </c>
      <c r="B262" s="111" t="s">
        <v>15</v>
      </c>
      <c r="C262" s="115" t="s">
        <v>29</v>
      </c>
      <c r="D262" s="128" t="s">
        <v>745</v>
      </c>
      <c r="E262" s="130" t="s">
        <v>18</v>
      </c>
    </row>
    <row r="263" spans="1:5" x14ac:dyDescent="0.25">
      <c r="A263" s="37" t="s">
        <v>447</v>
      </c>
      <c r="B263" s="119" t="s">
        <v>15</v>
      </c>
      <c r="C263" s="131" t="s">
        <v>29</v>
      </c>
      <c r="D263" s="38" t="s">
        <v>20</v>
      </c>
      <c r="E263" s="93" t="s">
        <v>44</v>
      </c>
    </row>
    <row r="264" spans="1:5" x14ac:dyDescent="0.25">
      <c r="A264" s="21" t="s">
        <v>449</v>
      </c>
      <c r="B264" s="107" t="s">
        <v>21</v>
      </c>
      <c r="C264" s="108" t="s">
        <v>62</v>
      </c>
      <c r="D264" s="22" t="s">
        <v>20</v>
      </c>
      <c r="E264" s="94" t="s">
        <v>48</v>
      </c>
    </row>
    <row r="265" spans="1:5" x14ac:dyDescent="0.25">
      <c r="A265" s="21" t="s">
        <v>451</v>
      </c>
      <c r="B265" s="107" t="s">
        <v>21</v>
      </c>
      <c r="C265" s="108" t="s">
        <v>62</v>
      </c>
      <c r="D265" s="22" t="s">
        <v>20</v>
      </c>
      <c r="E265" s="95" t="s">
        <v>52</v>
      </c>
    </row>
    <row r="266" spans="1:5" x14ac:dyDescent="0.25">
      <c r="A266" s="21" t="s">
        <v>453</v>
      </c>
      <c r="B266" s="107" t="s">
        <v>21</v>
      </c>
      <c r="C266" s="108" t="s">
        <v>62</v>
      </c>
      <c r="D266" s="22" t="s">
        <v>20</v>
      </c>
      <c r="E266" s="86" t="s">
        <v>18</v>
      </c>
    </row>
    <row r="267" spans="1:5" x14ac:dyDescent="0.25">
      <c r="A267" s="21" t="s">
        <v>455</v>
      </c>
      <c r="B267" s="111" t="s">
        <v>15</v>
      </c>
      <c r="C267" s="108" t="s">
        <v>62</v>
      </c>
      <c r="D267" s="22" t="s">
        <v>20</v>
      </c>
      <c r="E267" s="96" t="s">
        <v>66</v>
      </c>
    </row>
    <row r="268" spans="1:5" x14ac:dyDescent="0.25">
      <c r="A268" s="21" t="s">
        <v>457</v>
      </c>
      <c r="B268" s="109" t="s">
        <v>32</v>
      </c>
      <c r="C268" s="112" t="s">
        <v>16</v>
      </c>
      <c r="D268" s="22" t="s">
        <v>20</v>
      </c>
      <c r="E268" s="93" t="s">
        <v>44</v>
      </c>
    </row>
    <row r="269" spans="1:5" x14ac:dyDescent="0.25">
      <c r="A269" s="21" t="s">
        <v>459</v>
      </c>
      <c r="B269" s="109" t="s">
        <v>32</v>
      </c>
      <c r="C269" s="108" t="s">
        <v>62</v>
      </c>
      <c r="D269" s="22" t="s">
        <v>20</v>
      </c>
      <c r="E269" s="94" t="s">
        <v>48</v>
      </c>
    </row>
    <row r="270" spans="1:5" x14ac:dyDescent="0.25">
      <c r="A270" s="21" t="s">
        <v>461</v>
      </c>
      <c r="B270" s="107" t="s">
        <v>21</v>
      </c>
      <c r="C270" s="108" t="s">
        <v>62</v>
      </c>
      <c r="D270" s="22" t="s">
        <v>20</v>
      </c>
      <c r="E270" s="96" t="s">
        <v>66</v>
      </c>
    </row>
    <row r="271" spans="1:5" x14ac:dyDescent="0.25">
      <c r="A271" s="21" t="s">
        <v>463</v>
      </c>
      <c r="B271" s="107" t="s">
        <v>21</v>
      </c>
      <c r="C271" s="112" t="s">
        <v>16</v>
      </c>
      <c r="D271" s="22" t="s">
        <v>20</v>
      </c>
      <c r="E271" s="93" t="s">
        <v>44</v>
      </c>
    </row>
    <row r="272" spans="1:5" x14ac:dyDescent="0.25">
      <c r="A272" s="24"/>
      <c r="B272" s="59"/>
      <c r="C272" s="59"/>
      <c r="D272" s="24"/>
      <c r="E272" s="59"/>
    </row>
    <row r="273" spans="1:5" x14ac:dyDescent="0.25">
      <c r="A273" s="21" t="s">
        <v>465</v>
      </c>
      <c r="B273" s="107" t="s">
        <v>21</v>
      </c>
      <c r="C273" s="108" t="s">
        <v>62</v>
      </c>
      <c r="D273" s="22" t="s">
        <v>20</v>
      </c>
      <c r="E273" s="9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master</vt:lpstr>
      <vt:lpstr>Sheet1</vt:lpstr>
      <vt:lpstr>シート1</vt:lpstr>
      <vt:lpstr>シート3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権田力也</dc:creator>
  <cp:lastModifiedBy>力也 権田</cp:lastModifiedBy>
  <dcterms:created xsi:type="dcterms:W3CDTF">2015-06-05T18:17:20Z</dcterms:created>
  <dcterms:modified xsi:type="dcterms:W3CDTF">2026-05-01T06:40:29Z</dcterms:modified>
</cp:coreProperties>
</file>